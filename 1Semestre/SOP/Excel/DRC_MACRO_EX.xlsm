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luno DEV Noturno\OneDrive - SESISENAISP - Escolas\DenerRicardoCastravechi\SOP\"/>
    </mc:Choice>
  </mc:AlternateContent>
  <xr:revisionPtr revIDLastSave="3" documentId="8_{F12C9F9B-5D4E-4842-B6E5-C9DF5B37AEB0}" xr6:coauthVersionLast="36" xr6:coauthVersionMax="36" xr10:uidLastSave="{7E637CA7-1148-4929-A15A-CC1A83FAC309}"/>
  <bookViews>
    <workbookView xWindow="0" yWindow="0" windowWidth="23040" windowHeight="8940" xr2:uid="{82878E29-7C4C-48BB-B413-8864E32BF71B}"/>
  </bookViews>
  <sheets>
    <sheet name="FORMULÁRIO" sheetId="1" r:id="rId1"/>
    <sheet name="FILTROS" sheetId="2" r:id="rId2"/>
    <sheet name="DADOS" sheetId="3" r:id="rId3"/>
  </sheets>
  <definedNames>
    <definedName name="_xlnm._FilterDatabase" localSheetId="2" hidden="1">DADOS!$A$1:$I$53</definedName>
    <definedName name="_xlnm.Extract" localSheetId="1">FILTROS!$J$1</definedName>
    <definedName name="_xlnm.Extract" localSheetId="0">FORMULÁRIO!$C$14:$K$14</definedName>
    <definedName name="_xlnm.Criteria" localSheetId="1">FILTROS!$B$1:$B$2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2" l="1"/>
  <c r="F2" i="2"/>
  <c r="D2" i="2"/>
  <c r="B2" i="2" l="1"/>
  <c r="C2" i="2"/>
  <c r="A2" i="2"/>
</calcChain>
</file>

<file path=xl/sharedStrings.xml><?xml version="1.0" encoding="utf-8"?>
<sst xmlns="http://schemas.openxmlformats.org/spreadsheetml/2006/main" count="419" uniqueCount="93">
  <si>
    <t>RESULTADO</t>
  </si>
  <si>
    <t>INFORMATIK - ESCOLA DE INFORMÁTICA</t>
  </si>
  <si>
    <t>ÁREA</t>
  </si>
  <si>
    <t>ASSUNTO</t>
  </si>
  <si>
    <t>CURSO</t>
  </si>
  <si>
    <t>MANHÃ</t>
  </si>
  <si>
    <t>TARDE</t>
  </si>
  <si>
    <t>NOITE</t>
  </si>
  <si>
    <t>VALOR</t>
  </si>
  <si>
    <t>INÍCIO</t>
  </si>
  <si>
    <t>FIM</t>
  </si>
  <si>
    <t>Software</t>
  </si>
  <si>
    <t>Access</t>
  </si>
  <si>
    <t>Access Básico</t>
  </si>
  <si>
    <t>Sim</t>
  </si>
  <si>
    <t>Não</t>
  </si>
  <si>
    <t>Access com VBA</t>
  </si>
  <si>
    <t>1/15/2011</t>
  </si>
  <si>
    <t>Access Avançado e Macros</t>
  </si>
  <si>
    <t>1/17/2011</t>
  </si>
  <si>
    <t>1/19/2011</t>
  </si>
  <si>
    <t>1/18/2011</t>
  </si>
  <si>
    <t>Access Avançado</t>
  </si>
  <si>
    <t>1/13/2011</t>
  </si>
  <si>
    <t>1/23/2011</t>
  </si>
  <si>
    <t>1/22/2011</t>
  </si>
  <si>
    <t>1/27/2011</t>
  </si>
  <si>
    <t>Excel</t>
  </si>
  <si>
    <t>Excel Avançado</t>
  </si>
  <si>
    <t>1/29/2011</t>
  </si>
  <si>
    <t>Excel Básico</t>
  </si>
  <si>
    <t>1/21/2011</t>
  </si>
  <si>
    <t>1/28/2011</t>
  </si>
  <si>
    <t>Excel com VBA</t>
  </si>
  <si>
    <t>1/25/2011</t>
  </si>
  <si>
    <t>1/31/2011</t>
  </si>
  <si>
    <t>Word</t>
  </si>
  <si>
    <t>Word Básico</t>
  </si>
  <si>
    <t>Word Avançado</t>
  </si>
  <si>
    <t>2/16/2011</t>
  </si>
  <si>
    <t>2/15/2011</t>
  </si>
  <si>
    <t>2/20/2011</t>
  </si>
  <si>
    <t>Power Point</t>
  </si>
  <si>
    <t>Power Point Básico</t>
  </si>
  <si>
    <t>2/17/2011</t>
  </si>
  <si>
    <t>2/14/2011</t>
  </si>
  <si>
    <t>2/19/2011</t>
  </si>
  <si>
    <t>Power Point Avançado</t>
  </si>
  <si>
    <t>2/21/2011</t>
  </si>
  <si>
    <t>2/18/2011</t>
  </si>
  <si>
    <t>2/23/2011</t>
  </si>
  <si>
    <t>2/25/2011</t>
  </si>
  <si>
    <t>2/22/2011</t>
  </si>
  <si>
    <t>2/27/2011</t>
  </si>
  <si>
    <t>Hardware</t>
  </si>
  <si>
    <t>Manutenção de Micros</t>
  </si>
  <si>
    <t>Manutenção I</t>
  </si>
  <si>
    <t>2/24/2011</t>
  </si>
  <si>
    <t>3/21/2011</t>
  </si>
  <si>
    <t>2/26/2011</t>
  </si>
  <si>
    <t>3/23/2011</t>
  </si>
  <si>
    <t>Manutenção II</t>
  </si>
  <si>
    <t>2/28/2011</t>
  </si>
  <si>
    <t>3/25/2011</t>
  </si>
  <si>
    <t>3/27/2011</t>
  </si>
  <si>
    <t>3/29/2011</t>
  </si>
  <si>
    <t>3/31/2011</t>
  </si>
  <si>
    <t>Manutenção de Periféricos</t>
  </si>
  <si>
    <t>Impressoras</t>
  </si>
  <si>
    <t>3/17/2011</t>
  </si>
  <si>
    <t>Vídeo</t>
  </si>
  <si>
    <t>3/14/2011</t>
  </si>
  <si>
    <t>3/16/2011</t>
  </si>
  <si>
    <t>Placa de Som</t>
  </si>
  <si>
    <t>3/18/2011</t>
  </si>
  <si>
    <t>3/20/2011</t>
  </si>
  <si>
    <t>3/22/2011</t>
  </si>
  <si>
    <t>3/24/2011</t>
  </si>
  <si>
    <t>Manutenção de Notebook</t>
  </si>
  <si>
    <t>Manutenção Básica</t>
  </si>
  <si>
    <t>3/26/2011</t>
  </si>
  <si>
    <t>4/15/2011</t>
  </si>
  <si>
    <t>3/28/2011</t>
  </si>
  <si>
    <t>4/17/2011</t>
  </si>
  <si>
    <t>Teclado e vídeo</t>
  </si>
  <si>
    <t>3/30/2011</t>
  </si>
  <si>
    <t>4/23/2011</t>
  </si>
  <si>
    <t>Redes</t>
  </si>
  <si>
    <t>Instalação</t>
  </si>
  <si>
    <t>Configuração</t>
  </si>
  <si>
    <t>4/13/2011</t>
  </si>
  <si>
    <t>5/13/2011</t>
  </si>
  <si>
    <t>5/15/2011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</si>
</sst>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R$&quot;\ #,##0.00;[Red]\-&quot;R$&quot;\ 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20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1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1" fillId="0" borderId="0" xfId="0" applyFont="1"/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0" xfId="0" applyFont="1" applyFill="1" applyBorder="1" applyAlignment="1"/>
    <xf numFmtId="0" fontId="1" fillId="3" borderId="13" xfId="0" applyFont="1" applyFill="1" applyBorder="1" applyAlignment="1"/>
    <xf numFmtId="0" fontId="1" fillId="3" borderId="12" xfId="0" applyFont="1" applyFill="1" applyBorder="1" applyAlignment="1"/>
    <xf numFmtId="0" fontId="1" fillId="3" borderId="14" xfId="0" applyFont="1" applyFill="1" applyBorder="1" applyAlignment="1"/>
    <xf numFmtId="0" fontId="1" fillId="3" borderId="15" xfId="0" applyFont="1" applyFill="1" applyBorder="1" applyAlignment="1"/>
    <xf numFmtId="0" fontId="1" fillId="3" borderId="16" xfId="0" applyFont="1" applyFill="1" applyBorder="1" applyAlignment="1"/>
    <xf numFmtId="0" fontId="1" fillId="3" borderId="17" xfId="0" applyFont="1" applyFill="1" applyBorder="1" applyAlignment="1"/>
    <xf numFmtId="0" fontId="1" fillId="3" borderId="18" xfId="0" applyFont="1" applyFill="1" applyBorder="1" applyAlignment="1"/>
    <xf numFmtId="0" fontId="1" fillId="3" borderId="19" xfId="0" applyFont="1" applyFill="1" applyBorder="1" applyAlignment="1"/>
    <xf numFmtId="8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checked="Checked" firstButton="1" fmlaLink="FILTROS!$A$3" lockText="1"/>
</file>

<file path=xl/ctrlProps/ctrlProp3.xml><?xml version="1.0" encoding="utf-8"?>
<formControlPr xmlns="http://schemas.microsoft.com/office/spreadsheetml/2009/9/main" objectType="Drop" dropStyle="combo" dx="26" fmlaLink="FILTROS!$B$3" fmlaRange="FILTROS!$H$2:$H$460" sel="4" val="2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ist" dx="26" fmlaLink="FILTROS!$C$3" fmlaRange="FILTROS!$J$2:$J$217" sel="1" val="0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CheckBox" checked="Checked" fmlaLink="FILTROS!$D$3" lockText="1"/>
</file>

<file path=xl/ctrlProps/ctrlProp9.xml><?xml version="1.0" encoding="utf-8"?>
<formControlPr xmlns="http://schemas.microsoft.com/office/spreadsheetml/2009/9/main" objectType="CheckBox" checked="Checked" fmlaLink="FILTROS!$E$3" lockText="1"/>
</file>

<file path=xl/ctrlProps/ctrlProp10.xml><?xml version="1.0" encoding="utf-8"?>
<formControlPr xmlns="http://schemas.microsoft.com/office/spreadsheetml/2009/9/main" objectType="CheckBox" checked="Checked" fmlaLink="FILTROS!$F$3" lockText="1"/>
</file>

<file path=xl/ctrlProps/ctrlProp11.xml><?xml version="1.0" encoding="utf-8"?>
<formControlPr xmlns="http://schemas.microsoft.com/office/spreadsheetml/2009/9/main" objectType="Radio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2</xdr:row>
          <xdr:rowOff>175260</xdr:rowOff>
        </xdr:from>
        <xdr:to>
          <xdr:col>3</xdr:col>
          <xdr:colOff>716280</xdr:colOff>
          <xdr:row>10</xdr:row>
          <xdr:rowOff>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ÁREAS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5</xdr:row>
          <xdr:rowOff>15240</xdr:rowOff>
        </xdr:from>
        <xdr:to>
          <xdr:col>3</xdr:col>
          <xdr:colOff>411480</xdr:colOff>
          <xdr:row>6</xdr:row>
          <xdr:rowOff>45720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SOFTWARE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</xdr:row>
          <xdr:rowOff>7620</xdr:rowOff>
        </xdr:from>
        <xdr:to>
          <xdr:col>6</xdr:col>
          <xdr:colOff>441960</xdr:colOff>
          <xdr:row>7</xdr:row>
          <xdr:rowOff>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7</xdr:row>
          <xdr:rowOff>167640</xdr:rowOff>
        </xdr:from>
        <xdr:to>
          <xdr:col>6</xdr:col>
          <xdr:colOff>457200</xdr:colOff>
          <xdr:row>10</xdr:row>
          <xdr:rowOff>15240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PESQUISA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2</xdr:row>
          <xdr:rowOff>175260</xdr:rowOff>
        </xdr:from>
        <xdr:to>
          <xdr:col>5</xdr:col>
          <xdr:colOff>510540</xdr:colOff>
          <xdr:row>4</xdr:row>
          <xdr:rowOff>22860</xdr:rowOff>
        </xdr:to>
        <xdr:sp macro="" textlink="">
          <xdr:nvSpPr>
            <xdr:cNvPr id="1031" name="Label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ASSUNTO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5</xdr:row>
          <xdr:rowOff>7620</xdr:rowOff>
        </xdr:from>
        <xdr:to>
          <xdr:col>10</xdr:col>
          <xdr:colOff>647700</xdr:colOff>
          <xdr:row>10</xdr:row>
          <xdr:rowOff>45720</xdr:rowOff>
        </xdr:to>
        <xdr:sp macro="" textlink="">
          <xdr:nvSpPr>
            <xdr:cNvPr id="1034" name="List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</xdr:colOff>
          <xdr:row>2</xdr:row>
          <xdr:rowOff>175260</xdr:rowOff>
        </xdr:from>
        <xdr:to>
          <xdr:col>8</xdr:col>
          <xdr:colOff>723900</xdr:colOff>
          <xdr:row>4</xdr:row>
          <xdr:rowOff>22860</xdr:rowOff>
        </xdr:to>
        <xdr:sp macro="" textlink="">
          <xdr:nvSpPr>
            <xdr:cNvPr id="1035" name="Label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CURSO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1043940</xdr:colOff>
          <xdr:row>4</xdr:row>
          <xdr:rowOff>175260</xdr:rowOff>
        </xdr:from>
        <xdr:to>
          <xdr:col>12</xdr:col>
          <xdr:colOff>541020</xdr:colOff>
          <xdr:row>6</xdr:row>
          <xdr:rowOff>22860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MANHÃ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1059180</xdr:colOff>
          <xdr:row>6</xdr:row>
          <xdr:rowOff>175260</xdr:rowOff>
        </xdr:from>
        <xdr:to>
          <xdr:col>12</xdr:col>
          <xdr:colOff>556260</xdr:colOff>
          <xdr:row>8</xdr:row>
          <xdr:rowOff>22860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TARDE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175260</xdr:rowOff>
        </xdr:from>
        <xdr:to>
          <xdr:col>12</xdr:col>
          <xdr:colOff>594360</xdr:colOff>
          <xdr:row>10</xdr:row>
          <xdr:rowOff>22860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160020</xdr:rowOff>
        </xdr:from>
        <xdr:to>
          <xdr:col>3</xdr:col>
          <xdr:colOff>464820</xdr:colOff>
          <xdr:row>8</xdr:row>
          <xdr:rowOff>7620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HARDWARE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CB86D-C7A7-4E30-98C9-73E31D57520C}">
  <sheetPr codeName="Planilha1"/>
  <dimension ref="A1:M24"/>
  <sheetViews>
    <sheetView showGridLines="0" tabSelected="1" workbookViewId="0">
      <selection activeCell="O13" sqref="O13"/>
    </sheetView>
  </sheetViews>
  <sheetFormatPr defaultRowHeight="14.4" x14ac:dyDescent="0.3"/>
  <cols>
    <col min="2" max="2" width="4.44140625" customWidth="1"/>
    <col min="3" max="3" width="8.6640625" customWidth="1"/>
    <col min="4" max="4" width="13.5546875" customWidth="1"/>
    <col min="5" max="5" width="12.88671875" customWidth="1"/>
    <col min="6" max="6" width="12.77734375" customWidth="1"/>
    <col min="7" max="7" width="11.21875" customWidth="1"/>
    <col min="8" max="8" width="12.44140625" customWidth="1"/>
    <col min="9" max="9" width="13" customWidth="1"/>
    <col min="10" max="10" width="13.6640625" customWidth="1"/>
    <col min="11" max="11" width="16" customWidth="1"/>
    <col min="12" max="12" width="7.21875" customWidth="1"/>
    <col min="13" max="13" width="10.33203125" customWidth="1"/>
  </cols>
  <sheetData>
    <row r="1" spans="1:13" ht="15" thickBot="1" x14ac:dyDescent="0.35"/>
    <row r="2" spans="1:13" ht="15.6" thickTop="1" thickBot="1" x14ac:dyDescent="0.35">
      <c r="A2" s="1"/>
      <c r="B2" s="2"/>
      <c r="C2" s="2"/>
      <c r="D2" s="2"/>
      <c r="E2" s="11" t="s">
        <v>1</v>
      </c>
      <c r="F2" s="12"/>
      <c r="G2" s="12"/>
      <c r="H2" s="12"/>
      <c r="I2" s="13"/>
      <c r="J2" s="2"/>
      <c r="K2" s="2"/>
      <c r="L2" s="2"/>
      <c r="M2" s="3"/>
    </row>
    <row r="3" spans="1:13" ht="15" thickTop="1" x14ac:dyDescent="0.3">
      <c r="A3" s="4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6"/>
    </row>
    <row r="4" spans="1:13" x14ac:dyDescent="0.3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6"/>
    </row>
    <row r="5" spans="1:13" x14ac:dyDescent="0.3">
      <c r="A5" s="4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6"/>
    </row>
    <row r="6" spans="1:13" x14ac:dyDescent="0.3">
      <c r="A6" s="4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6"/>
    </row>
    <row r="7" spans="1:13" x14ac:dyDescent="0.3">
      <c r="A7" s="4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6"/>
    </row>
    <row r="8" spans="1:13" x14ac:dyDescent="0.3">
      <c r="A8" s="4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6"/>
    </row>
    <row r="9" spans="1:13" x14ac:dyDescent="0.3">
      <c r="A9" s="4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6"/>
    </row>
    <row r="10" spans="1:13" x14ac:dyDescent="0.3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6"/>
    </row>
    <row r="11" spans="1:13" x14ac:dyDescent="0.3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6"/>
    </row>
    <row r="12" spans="1:13" ht="15" thickBot="1" x14ac:dyDescent="0.35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6"/>
    </row>
    <row r="13" spans="1:13" x14ac:dyDescent="0.3">
      <c r="A13" s="4"/>
      <c r="B13" s="16"/>
      <c r="C13" s="15" t="s">
        <v>0</v>
      </c>
      <c r="D13" s="15"/>
      <c r="E13" s="15"/>
      <c r="F13" s="15"/>
      <c r="G13" s="15"/>
      <c r="H13" s="15"/>
      <c r="I13" s="15"/>
      <c r="J13" s="15"/>
      <c r="K13" s="15"/>
      <c r="L13" s="17"/>
      <c r="M13" s="6"/>
    </row>
    <row r="14" spans="1:13" x14ac:dyDescent="0.3">
      <c r="A14" s="4"/>
      <c r="B14" s="18"/>
      <c r="C14" t="s">
        <v>2</v>
      </c>
      <c r="D14" t="s">
        <v>3</v>
      </c>
      <c r="E14" t="s">
        <v>4</v>
      </c>
      <c r="F14" t="s">
        <v>5</v>
      </c>
      <c r="G14" t="s">
        <v>6</v>
      </c>
      <c r="H14" t="s">
        <v>7</v>
      </c>
      <c r="I14" t="s">
        <v>8</v>
      </c>
      <c r="J14" t="s">
        <v>9</v>
      </c>
      <c r="K14" t="s">
        <v>10</v>
      </c>
      <c r="L14" s="19"/>
      <c r="M14" s="6"/>
    </row>
    <row r="15" spans="1:13" x14ac:dyDescent="0.3">
      <c r="A15" s="4"/>
      <c r="B15" s="18"/>
      <c r="C15" t="s">
        <v>11</v>
      </c>
      <c r="D15" t="s">
        <v>42</v>
      </c>
      <c r="E15" t="s">
        <v>43</v>
      </c>
      <c r="F15" t="s">
        <v>14</v>
      </c>
      <c r="G15" t="s">
        <v>14</v>
      </c>
      <c r="H15" t="s">
        <v>14</v>
      </c>
      <c r="I15" s="23">
        <v>230</v>
      </c>
      <c r="J15" t="s">
        <v>45</v>
      </c>
      <c r="K15" t="s">
        <v>46</v>
      </c>
      <c r="L15" s="19"/>
      <c r="M15" s="6"/>
    </row>
    <row r="16" spans="1:13" x14ac:dyDescent="0.3">
      <c r="A16" s="4"/>
      <c r="B16" s="18"/>
      <c r="C16" s="14"/>
      <c r="D16" s="14"/>
      <c r="E16" s="14"/>
      <c r="F16" s="14"/>
      <c r="G16" s="14"/>
      <c r="H16" s="14"/>
      <c r="I16" s="14"/>
      <c r="J16" s="14"/>
      <c r="K16" s="14"/>
      <c r="L16" s="19"/>
      <c r="M16" s="6"/>
    </row>
    <row r="17" spans="1:13" x14ac:dyDescent="0.3">
      <c r="A17" s="4"/>
      <c r="B17" s="18"/>
      <c r="C17" s="14"/>
      <c r="D17" s="14"/>
      <c r="E17" s="14"/>
      <c r="F17" s="14"/>
      <c r="G17" s="14"/>
      <c r="H17" s="14"/>
      <c r="I17" s="14"/>
      <c r="J17" s="14"/>
      <c r="K17" s="14"/>
      <c r="L17" s="19"/>
      <c r="M17" s="6"/>
    </row>
    <row r="18" spans="1:13" x14ac:dyDescent="0.3">
      <c r="A18" s="4"/>
      <c r="B18" s="18"/>
      <c r="C18" s="14"/>
      <c r="D18" s="14"/>
      <c r="E18" s="14"/>
      <c r="F18" s="14"/>
      <c r="G18" s="14"/>
      <c r="H18" s="14"/>
      <c r="I18" s="14"/>
      <c r="J18" s="14"/>
      <c r="K18" s="14"/>
      <c r="L18" s="19"/>
      <c r="M18" s="6"/>
    </row>
    <row r="19" spans="1:13" x14ac:dyDescent="0.3">
      <c r="A19" s="4"/>
      <c r="B19" s="18"/>
      <c r="C19" s="14"/>
      <c r="D19" s="14"/>
      <c r="E19" s="14"/>
      <c r="F19" s="14"/>
      <c r="G19" s="14"/>
      <c r="H19" s="14"/>
      <c r="I19" s="14"/>
      <c r="J19" s="14"/>
      <c r="K19" s="14"/>
      <c r="L19" s="19"/>
      <c r="M19" s="6"/>
    </row>
    <row r="20" spans="1:13" x14ac:dyDescent="0.3">
      <c r="A20" s="4"/>
      <c r="B20" s="18"/>
      <c r="C20" s="14"/>
      <c r="D20" s="14"/>
      <c r="E20" s="14"/>
      <c r="F20" s="14"/>
      <c r="G20" s="14"/>
      <c r="H20" s="14"/>
      <c r="I20" s="14"/>
      <c r="J20" s="14"/>
      <c r="K20" s="14"/>
      <c r="L20" s="19"/>
      <c r="M20" s="6"/>
    </row>
    <row r="21" spans="1:13" ht="15" thickBot="1" x14ac:dyDescent="0.35">
      <c r="A21" s="4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2"/>
      <c r="M21" s="6"/>
    </row>
    <row r="22" spans="1:13" x14ac:dyDescent="0.3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6"/>
    </row>
    <row r="23" spans="1:13" ht="15" thickBot="1" x14ac:dyDescent="0.35">
      <c r="A23" s="7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9"/>
    </row>
    <row r="24" spans="1:13" ht="15" thickTop="1" x14ac:dyDescent="0.3"/>
  </sheetData>
  <mergeCells count="1">
    <mergeCell ref="E2:I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defaultSize="0" autoFill="0" autoPict="0">
                <anchor moveWithCells="1">
                  <from>
                    <xdr:col>1</xdr:col>
                    <xdr:colOff>15240</xdr:colOff>
                    <xdr:row>2</xdr:row>
                    <xdr:rowOff>175260</xdr:rowOff>
                  </from>
                  <to>
                    <xdr:col>3</xdr:col>
                    <xdr:colOff>716280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 macro="[0]!Macro1">
                <anchor moveWithCells="1">
                  <from>
                    <xdr:col>1</xdr:col>
                    <xdr:colOff>365760</xdr:colOff>
                    <xdr:row>5</xdr:row>
                    <xdr:rowOff>15240</xdr:rowOff>
                  </from>
                  <to>
                    <xdr:col>3</xdr:col>
                    <xdr:colOff>411480</xdr:colOff>
                    <xdr:row>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Drop Down 5">
              <controlPr defaultSize="0" autoLine="0" autoPict="0" macro="[0]!Macro2">
                <anchor moveWithCells="1">
                  <from>
                    <xdr:col>4</xdr:col>
                    <xdr:colOff>22860</xdr:colOff>
                    <xdr:row>5</xdr:row>
                    <xdr:rowOff>7620</xdr:rowOff>
                  </from>
                  <to>
                    <xdr:col>6</xdr:col>
                    <xdr:colOff>441960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RESULTADO">
                <anchor moveWithCells="1" sizeWithCells="1">
                  <from>
                    <xdr:col>4</xdr:col>
                    <xdr:colOff>7620</xdr:colOff>
                    <xdr:row>7</xdr:row>
                    <xdr:rowOff>167640</xdr:rowOff>
                  </from>
                  <to>
                    <xdr:col>6</xdr:col>
                    <xdr:colOff>457200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Label 7">
              <controlPr defaultSize="0" autoFill="0" autoLine="0" autoPict="0">
                <anchor moveWithCells="1" sizeWithCells="1">
                  <from>
                    <xdr:col>4</xdr:col>
                    <xdr:colOff>30480</xdr:colOff>
                    <xdr:row>2</xdr:row>
                    <xdr:rowOff>175260</xdr:rowOff>
                  </from>
                  <to>
                    <xdr:col>5</xdr:col>
                    <xdr:colOff>510540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List Box 10">
              <controlPr defaultSize="0" autoLine="0" autoPict="0">
                <anchor moveWithCells="1">
                  <from>
                    <xdr:col>8</xdr:col>
                    <xdr:colOff>7620</xdr:colOff>
                    <xdr:row>5</xdr:row>
                    <xdr:rowOff>7620</xdr:rowOff>
                  </from>
                  <to>
                    <xdr:col>10</xdr:col>
                    <xdr:colOff>647700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Label 11">
              <controlPr defaultSize="0" autoFill="0" autoLine="0" autoPict="0">
                <anchor moveWithCells="1">
                  <from>
                    <xdr:col>8</xdr:col>
                    <xdr:colOff>68580</xdr:colOff>
                    <xdr:row>2</xdr:row>
                    <xdr:rowOff>175260</xdr:rowOff>
                  </from>
                  <to>
                    <xdr:col>8</xdr:col>
                    <xdr:colOff>723900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Check Box 12">
              <controlPr defaultSize="0" autoFill="0" autoLine="0" autoPict="0">
                <anchor moveWithCells="1">
                  <from>
                    <xdr:col>10</xdr:col>
                    <xdr:colOff>1043940</xdr:colOff>
                    <xdr:row>4</xdr:row>
                    <xdr:rowOff>175260</xdr:rowOff>
                  </from>
                  <to>
                    <xdr:col>12</xdr:col>
                    <xdr:colOff>541020</xdr:colOff>
                    <xdr:row>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Check Box 13">
              <controlPr defaultSize="0" autoFill="0" autoLine="0" autoPict="0">
                <anchor moveWithCells="1">
                  <from>
                    <xdr:col>10</xdr:col>
                    <xdr:colOff>1059180</xdr:colOff>
                    <xdr:row>6</xdr:row>
                    <xdr:rowOff>175260</xdr:rowOff>
                  </from>
                  <to>
                    <xdr:col>12</xdr:col>
                    <xdr:colOff>556260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Check Box 14">
              <controlPr defaultSize="0" autoFill="0" autoLine="0" autoPict="0">
                <anchor moveWithCells="1">
                  <from>
                    <xdr:col>11</xdr:col>
                    <xdr:colOff>0</xdr:colOff>
                    <xdr:row>8</xdr:row>
                    <xdr:rowOff>175260</xdr:rowOff>
                  </from>
                  <to>
                    <xdr:col>12</xdr:col>
                    <xdr:colOff>594360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Option Button 15">
              <controlPr defaultSize="0" autoFill="0" autoLine="0" autoPict="0" macro="[0]!Macro1">
                <anchor moveWithCells="1">
                  <from>
                    <xdr:col>2</xdr:col>
                    <xdr:colOff>0</xdr:colOff>
                    <xdr:row>6</xdr:row>
                    <xdr:rowOff>160020</xdr:rowOff>
                  </from>
                  <to>
                    <xdr:col>3</xdr:col>
                    <xdr:colOff>464820</xdr:colOff>
                    <xdr:row>8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09C97-168B-4D4F-8990-030BF8075F57}">
  <sheetPr codeName="Planilha2"/>
  <dimension ref="A1:J6"/>
  <sheetViews>
    <sheetView workbookViewId="0">
      <selection activeCell="B11" sqref="B11"/>
    </sheetView>
  </sheetViews>
  <sheetFormatPr defaultRowHeight="14.4" x14ac:dyDescent="0.3"/>
  <cols>
    <col min="1" max="1" width="13" customWidth="1"/>
    <col min="2" max="2" width="31.5546875" customWidth="1"/>
    <col min="3" max="3" width="31.21875" customWidth="1"/>
    <col min="4" max="4" width="12.77734375" customWidth="1"/>
    <col min="5" max="5" width="13.44140625" customWidth="1"/>
    <col min="6" max="6" width="12.77734375" customWidth="1"/>
    <col min="8" max="8" width="13.44140625" customWidth="1"/>
    <col min="10" max="10" width="24.6640625" customWidth="1"/>
  </cols>
  <sheetData>
    <row r="1" spans="1:10" ht="14.4" customHeight="1" x14ac:dyDescent="0.3">
      <c r="A1" s="10" t="s">
        <v>2</v>
      </c>
      <c r="B1" s="10" t="s">
        <v>3</v>
      </c>
      <c r="C1" s="10" t="s">
        <v>4</v>
      </c>
      <c r="D1" s="10" t="s">
        <v>5</v>
      </c>
      <c r="E1" s="10" t="s">
        <v>6</v>
      </c>
      <c r="F1" s="10" t="s">
        <v>7</v>
      </c>
      <c r="H1" s="10" t="s">
        <v>3</v>
      </c>
      <c r="J1" s="10" t="s">
        <v>4</v>
      </c>
    </row>
    <row r="2" spans="1:10" ht="14.4" customHeight="1" x14ac:dyDescent="0.3">
      <c r="A2" t="str">
        <f>IF(A3=1,"SOFTWARE","HARDWARE")</f>
        <v>SOFTWARE</v>
      </c>
      <c r="B2" t="str">
        <f>INDEX(H2:H246,B3,1)</f>
        <v>Power Point</v>
      </c>
      <c r="C2" t="str">
        <f>INDEX(J2:J611,C3,1)</f>
        <v>Power Point Básico</v>
      </c>
      <c r="D2" t="str">
        <f>IF(D3=TRUE,"Sim","Não")</f>
        <v>Sim</v>
      </c>
      <c r="E2" t="str">
        <f t="shared" ref="E2:F2" si="0">IF(E3=TRUE,"Sim","Não")</f>
        <v>Sim</v>
      </c>
      <c r="F2" t="str">
        <f t="shared" si="0"/>
        <v>Sim</v>
      </c>
      <c r="H2" t="s">
        <v>12</v>
      </c>
      <c r="J2" t="s">
        <v>43</v>
      </c>
    </row>
    <row r="3" spans="1:10" ht="14.4" customHeight="1" x14ac:dyDescent="0.3">
      <c r="A3">
        <v>1</v>
      </c>
      <c r="B3">
        <v>4</v>
      </c>
      <c r="C3">
        <v>1</v>
      </c>
      <c r="D3" t="b">
        <v>1</v>
      </c>
      <c r="E3" t="b">
        <v>1</v>
      </c>
      <c r="F3" t="b">
        <v>1</v>
      </c>
      <c r="H3" t="s">
        <v>27</v>
      </c>
      <c r="J3" t="s">
        <v>47</v>
      </c>
    </row>
    <row r="4" spans="1:10" ht="14.4" customHeight="1" x14ac:dyDescent="0.3">
      <c r="H4" t="s">
        <v>36</v>
      </c>
    </row>
    <row r="5" spans="1:10" ht="14.4" customHeight="1" x14ac:dyDescent="0.3">
      <c r="H5" t="s">
        <v>42</v>
      </c>
    </row>
    <row r="6" spans="1:10" ht="14.4" customHeight="1" x14ac:dyDescent="0.3"/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EBE7E-7D15-4300-B67B-044E4A06CD0A}">
  <sheetPr codeName="Planilha3"/>
  <dimension ref="A1:I53"/>
  <sheetViews>
    <sheetView topLeftCell="A27" workbookViewId="0">
      <selection sqref="A1:Z1000"/>
    </sheetView>
  </sheetViews>
  <sheetFormatPr defaultRowHeight="14.4" x14ac:dyDescent="0.3"/>
  <cols>
    <col min="2" max="2" width="26.88671875" customWidth="1"/>
    <col min="3" max="3" width="33.77734375" customWidth="1"/>
    <col min="7" max="7" width="14.21875" customWidth="1"/>
    <col min="8" max="8" width="16.5546875" customWidth="1"/>
    <col min="9" max="9" width="19" customWidth="1"/>
  </cols>
  <sheetData>
    <row r="1" spans="1:9" ht="14.4" customHeight="1" x14ac:dyDescent="0.3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</row>
    <row r="2" spans="1:9" ht="14.4" customHeight="1" x14ac:dyDescent="0.3">
      <c r="A2" t="s">
        <v>11</v>
      </c>
      <c r="B2" t="s">
        <v>12</v>
      </c>
      <c r="C2" t="s">
        <v>13</v>
      </c>
      <c r="D2" t="s">
        <v>14</v>
      </c>
      <c r="E2" t="s">
        <v>15</v>
      </c>
      <c r="F2" t="s">
        <v>14</v>
      </c>
      <c r="G2" s="23">
        <v>350</v>
      </c>
      <c r="H2" s="24">
        <v>40603</v>
      </c>
      <c r="I2" s="24">
        <v>40817</v>
      </c>
    </row>
    <row r="3" spans="1:9" ht="14.4" customHeight="1" x14ac:dyDescent="0.3">
      <c r="A3" t="s">
        <v>11</v>
      </c>
      <c r="B3" t="s">
        <v>12</v>
      </c>
      <c r="C3" t="s">
        <v>16</v>
      </c>
      <c r="D3" t="s">
        <v>15</v>
      </c>
      <c r="E3" t="s">
        <v>15</v>
      </c>
      <c r="F3" t="s">
        <v>14</v>
      </c>
      <c r="G3" s="23">
        <v>900</v>
      </c>
      <c r="H3" s="24">
        <v>40664</v>
      </c>
      <c r="I3" t="s">
        <v>17</v>
      </c>
    </row>
    <row r="4" spans="1:9" ht="14.4" customHeight="1" x14ac:dyDescent="0.3">
      <c r="A4" t="s">
        <v>11</v>
      </c>
      <c r="B4" t="s">
        <v>12</v>
      </c>
      <c r="C4" t="s">
        <v>18</v>
      </c>
      <c r="D4" t="s">
        <v>15</v>
      </c>
      <c r="E4" t="s">
        <v>15</v>
      </c>
      <c r="F4" t="s">
        <v>14</v>
      </c>
      <c r="G4" s="23">
        <v>450</v>
      </c>
      <c r="H4" s="24">
        <v>40725</v>
      </c>
      <c r="I4" t="s">
        <v>19</v>
      </c>
    </row>
    <row r="5" spans="1:9" ht="14.4" customHeight="1" x14ac:dyDescent="0.3">
      <c r="A5" t="s">
        <v>11</v>
      </c>
      <c r="B5" t="s">
        <v>12</v>
      </c>
      <c r="C5" t="s">
        <v>16</v>
      </c>
      <c r="D5" t="s">
        <v>14</v>
      </c>
      <c r="E5" t="s">
        <v>15</v>
      </c>
      <c r="F5" t="s">
        <v>14</v>
      </c>
      <c r="G5" s="23">
        <v>900</v>
      </c>
      <c r="H5" s="24">
        <v>40787</v>
      </c>
      <c r="I5" t="s">
        <v>20</v>
      </c>
    </row>
    <row r="6" spans="1:9" ht="14.4" customHeight="1" x14ac:dyDescent="0.3">
      <c r="A6" t="s">
        <v>11</v>
      </c>
      <c r="B6" t="s">
        <v>12</v>
      </c>
      <c r="C6" t="s">
        <v>13</v>
      </c>
      <c r="D6" t="s">
        <v>14</v>
      </c>
      <c r="E6" t="s">
        <v>14</v>
      </c>
      <c r="F6" t="s">
        <v>14</v>
      </c>
      <c r="G6" s="23">
        <v>350</v>
      </c>
      <c r="H6" s="24">
        <v>40848</v>
      </c>
      <c r="I6" t="s">
        <v>21</v>
      </c>
    </row>
    <row r="7" spans="1:9" ht="14.4" customHeight="1" x14ac:dyDescent="0.3">
      <c r="A7" t="s">
        <v>11</v>
      </c>
      <c r="B7" t="s">
        <v>12</v>
      </c>
      <c r="C7" t="s">
        <v>22</v>
      </c>
      <c r="D7" t="s">
        <v>15</v>
      </c>
      <c r="E7" t="s">
        <v>15</v>
      </c>
      <c r="F7" t="s">
        <v>15</v>
      </c>
      <c r="G7" s="23">
        <v>450</v>
      </c>
      <c r="H7" t="s">
        <v>23</v>
      </c>
      <c r="I7" t="s">
        <v>24</v>
      </c>
    </row>
    <row r="8" spans="1:9" ht="14.4" customHeight="1" x14ac:dyDescent="0.3">
      <c r="A8" t="s">
        <v>11</v>
      </c>
      <c r="B8" t="s">
        <v>12</v>
      </c>
      <c r="C8" t="s">
        <v>13</v>
      </c>
      <c r="D8" t="s">
        <v>14</v>
      </c>
      <c r="E8" t="s">
        <v>15</v>
      </c>
      <c r="F8" t="s">
        <v>14</v>
      </c>
      <c r="G8" s="23">
        <v>350</v>
      </c>
      <c r="H8" t="s">
        <v>17</v>
      </c>
      <c r="I8" t="s">
        <v>25</v>
      </c>
    </row>
    <row r="9" spans="1:9" ht="14.4" customHeight="1" x14ac:dyDescent="0.3">
      <c r="A9" t="s">
        <v>11</v>
      </c>
      <c r="B9" t="s">
        <v>12</v>
      </c>
      <c r="C9" t="s">
        <v>16</v>
      </c>
      <c r="D9" t="s">
        <v>14</v>
      </c>
      <c r="E9" t="s">
        <v>15</v>
      </c>
      <c r="F9" t="s">
        <v>14</v>
      </c>
      <c r="G9" s="23">
        <v>900</v>
      </c>
      <c r="H9" t="s">
        <v>19</v>
      </c>
      <c r="I9" t="s">
        <v>26</v>
      </c>
    </row>
    <row r="10" spans="1:9" ht="14.4" customHeight="1" x14ac:dyDescent="0.3">
      <c r="A10" t="s">
        <v>11</v>
      </c>
      <c r="B10" t="s">
        <v>27</v>
      </c>
      <c r="C10" t="s">
        <v>28</v>
      </c>
      <c r="D10" t="s">
        <v>15</v>
      </c>
      <c r="E10" t="s">
        <v>15</v>
      </c>
      <c r="F10" t="s">
        <v>14</v>
      </c>
      <c r="G10" s="23">
        <v>450</v>
      </c>
      <c r="H10" t="s">
        <v>20</v>
      </c>
      <c r="I10" t="s">
        <v>29</v>
      </c>
    </row>
    <row r="11" spans="1:9" ht="14.4" customHeight="1" x14ac:dyDescent="0.3">
      <c r="A11" t="s">
        <v>11</v>
      </c>
      <c r="B11" t="s">
        <v>27</v>
      </c>
      <c r="C11" t="s">
        <v>30</v>
      </c>
      <c r="D11" t="s">
        <v>14</v>
      </c>
      <c r="E11" t="s">
        <v>14</v>
      </c>
      <c r="F11" t="s">
        <v>14</v>
      </c>
      <c r="G11" s="23">
        <v>350</v>
      </c>
      <c r="H11" t="s">
        <v>31</v>
      </c>
      <c r="I11" t="s">
        <v>32</v>
      </c>
    </row>
    <row r="12" spans="1:9" ht="14.4" customHeight="1" x14ac:dyDescent="0.3">
      <c r="A12" t="s">
        <v>11</v>
      </c>
      <c r="B12" t="s">
        <v>27</v>
      </c>
      <c r="C12" t="s">
        <v>28</v>
      </c>
      <c r="D12" t="s">
        <v>14</v>
      </c>
      <c r="E12" t="s">
        <v>15</v>
      </c>
      <c r="F12" t="s">
        <v>14</v>
      </c>
      <c r="G12" s="23">
        <v>450</v>
      </c>
      <c r="H12" t="s">
        <v>24</v>
      </c>
      <c r="I12" s="24">
        <v>40576</v>
      </c>
    </row>
    <row r="13" spans="1:9" ht="14.4" customHeight="1" x14ac:dyDescent="0.3">
      <c r="A13" t="s">
        <v>11</v>
      </c>
      <c r="B13" t="s">
        <v>27</v>
      </c>
      <c r="C13" t="s">
        <v>33</v>
      </c>
      <c r="D13" t="s">
        <v>14</v>
      </c>
      <c r="E13" t="s">
        <v>14</v>
      </c>
      <c r="F13" t="s">
        <v>14</v>
      </c>
      <c r="G13" s="23">
        <v>900</v>
      </c>
      <c r="H13" t="s">
        <v>34</v>
      </c>
      <c r="I13" s="24">
        <v>40635</v>
      </c>
    </row>
    <row r="14" spans="1:9" ht="14.4" customHeight="1" x14ac:dyDescent="0.3">
      <c r="A14" t="s">
        <v>11</v>
      </c>
      <c r="B14" t="s">
        <v>27</v>
      </c>
      <c r="C14" t="s">
        <v>30</v>
      </c>
      <c r="D14" t="s">
        <v>14</v>
      </c>
      <c r="E14" t="s">
        <v>15</v>
      </c>
      <c r="F14" t="s">
        <v>14</v>
      </c>
      <c r="G14" s="23">
        <v>350</v>
      </c>
      <c r="H14" t="s">
        <v>26</v>
      </c>
      <c r="I14" s="24">
        <v>40604</v>
      </c>
    </row>
    <row r="15" spans="1:9" ht="14.4" customHeight="1" x14ac:dyDescent="0.3">
      <c r="A15" t="s">
        <v>11</v>
      </c>
      <c r="B15" t="s">
        <v>27</v>
      </c>
      <c r="C15" t="s">
        <v>28</v>
      </c>
      <c r="D15" t="s">
        <v>14</v>
      </c>
      <c r="E15" t="s">
        <v>15</v>
      </c>
      <c r="F15" t="s">
        <v>14</v>
      </c>
      <c r="G15" s="23">
        <v>450</v>
      </c>
      <c r="H15" t="s">
        <v>29</v>
      </c>
      <c r="I15" s="24">
        <v>40757</v>
      </c>
    </row>
    <row r="16" spans="1:9" ht="14.4" customHeight="1" x14ac:dyDescent="0.3">
      <c r="A16" t="s">
        <v>11</v>
      </c>
      <c r="B16" t="s">
        <v>27</v>
      </c>
      <c r="C16" t="s">
        <v>30</v>
      </c>
      <c r="D16" t="s">
        <v>15</v>
      </c>
      <c r="E16" t="s">
        <v>15</v>
      </c>
      <c r="F16" t="s">
        <v>14</v>
      </c>
      <c r="G16" s="23">
        <v>350</v>
      </c>
      <c r="H16" t="s">
        <v>35</v>
      </c>
      <c r="I16" s="24">
        <v>40726</v>
      </c>
    </row>
    <row r="17" spans="1:9" ht="14.4" customHeight="1" x14ac:dyDescent="0.3">
      <c r="A17" t="s">
        <v>11</v>
      </c>
      <c r="B17" t="s">
        <v>36</v>
      </c>
      <c r="C17" t="s">
        <v>37</v>
      </c>
      <c r="D17" t="s">
        <v>15</v>
      </c>
      <c r="E17" t="s">
        <v>15</v>
      </c>
      <c r="F17" t="s">
        <v>14</v>
      </c>
      <c r="G17" s="23">
        <v>300</v>
      </c>
      <c r="H17" s="24">
        <v>40576</v>
      </c>
      <c r="I17" s="24">
        <v>40788</v>
      </c>
    </row>
    <row r="18" spans="1:9" ht="14.4" customHeight="1" x14ac:dyDescent="0.3">
      <c r="A18" t="s">
        <v>11</v>
      </c>
      <c r="B18" t="s">
        <v>36</v>
      </c>
      <c r="C18" t="s">
        <v>37</v>
      </c>
      <c r="D18" t="s">
        <v>14</v>
      </c>
      <c r="E18" t="s">
        <v>15</v>
      </c>
      <c r="F18" t="s">
        <v>14</v>
      </c>
      <c r="G18" s="23">
        <v>300</v>
      </c>
      <c r="H18" s="24">
        <v>40635</v>
      </c>
      <c r="I18" s="24">
        <v>40849</v>
      </c>
    </row>
    <row r="19" spans="1:9" ht="14.4" customHeight="1" x14ac:dyDescent="0.3">
      <c r="A19" t="s">
        <v>11</v>
      </c>
      <c r="B19" t="s">
        <v>36</v>
      </c>
      <c r="C19" t="s">
        <v>38</v>
      </c>
      <c r="D19" t="s">
        <v>14</v>
      </c>
      <c r="E19" t="s">
        <v>14</v>
      </c>
      <c r="F19" t="s">
        <v>14</v>
      </c>
      <c r="G19" s="23">
        <v>360</v>
      </c>
      <c r="H19" s="24">
        <v>40696</v>
      </c>
      <c r="I19" t="s">
        <v>39</v>
      </c>
    </row>
    <row r="20" spans="1:9" ht="14.4" customHeight="1" x14ac:dyDescent="0.3">
      <c r="A20" t="s">
        <v>11</v>
      </c>
      <c r="B20" t="s">
        <v>36</v>
      </c>
      <c r="C20" t="s">
        <v>37</v>
      </c>
      <c r="D20" t="s">
        <v>14</v>
      </c>
      <c r="E20" t="s">
        <v>14</v>
      </c>
      <c r="F20" t="s">
        <v>14</v>
      </c>
      <c r="G20" s="23">
        <v>300</v>
      </c>
      <c r="H20" s="24">
        <v>40757</v>
      </c>
      <c r="I20" t="s">
        <v>40</v>
      </c>
    </row>
    <row r="21" spans="1:9" ht="14.4" customHeight="1" x14ac:dyDescent="0.3">
      <c r="A21" t="s">
        <v>11</v>
      </c>
      <c r="B21" t="s">
        <v>36</v>
      </c>
      <c r="C21" t="s">
        <v>38</v>
      </c>
      <c r="D21" t="s">
        <v>14</v>
      </c>
      <c r="E21" t="s">
        <v>15</v>
      </c>
      <c r="F21" t="s">
        <v>14</v>
      </c>
      <c r="G21" s="23">
        <v>360</v>
      </c>
      <c r="H21" s="24">
        <v>40818</v>
      </c>
      <c r="I21" t="s">
        <v>41</v>
      </c>
    </row>
    <row r="22" spans="1:9" ht="14.4" customHeight="1" x14ac:dyDescent="0.3">
      <c r="A22" t="s">
        <v>11</v>
      </c>
      <c r="B22" t="s">
        <v>42</v>
      </c>
      <c r="C22" t="s">
        <v>43</v>
      </c>
      <c r="D22" t="s">
        <v>15</v>
      </c>
      <c r="E22" t="s">
        <v>15</v>
      </c>
      <c r="F22" t="s">
        <v>14</v>
      </c>
      <c r="G22" s="23">
        <v>230</v>
      </c>
      <c r="H22" s="24">
        <v>40879</v>
      </c>
      <c r="I22" t="s">
        <v>44</v>
      </c>
    </row>
    <row r="23" spans="1:9" ht="14.4" customHeight="1" x14ac:dyDescent="0.3">
      <c r="A23" t="s">
        <v>11</v>
      </c>
      <c r="B23" t="s">
        <v>42</v>
      </c>
      <c r="C23" t="s">
        <v>43</v>
      </c>
      <c r="D23" t="s">
        <v>14</v>
      </c>
      <c r="E23" t="s">
        <v>14</v>
      </c>
      <c r="F23" t="s">
        <v>14</v>
      </c>
      <c r="G23" s="23">
        <v>230</v>
      </c>
      <c r="H23" t="s">
        <v>45</v>
      </c>
      <c r="I23" t="s">
        <v>46</v>
      </c>
    </row>
    <row r="24" spans="1:9" ht="14.4" customHeight="1" x14ac:dyDescent="0.3">
      <c r="A24" t="s">
        <v>11</v>
      </c>
      <c r="B24" t="s">
        <v>42</v>
      </c>
      <c r="C24" t="s">
        <v>47</v>
      </c>
      <c r="D24" t="s">
        <v>14</v>
      </c>
      <c r="E24" t="s">
        <v>15</v>
      </c>
      <c r="F24" t="s">
        <v>14</v>
      </c>
      <c r="G24" s="23">
        <v>290</v>
      </c>
      <c r="H24" t="s">
        <v>39</v>
      </c>
      <c r="I24" t="s">
        <v>48</v>
      </c>
    </row>
    <row r="25" spans="1:9" ht="14.4" customHeight="1" x14ac:dyDescent="0.3">
      <c r="A25" t="s">
        <v>11</v>
      </c>
      <c r="B25" t="s">
        <v>42</v>
      </c>
      <c r="C25" t="s">
        <v>43</v>
      </c>
      <c r="D25" t="s">
        <v>14</v>
      </c>
      <c r="E25" t="s">
        <v>15</v>
      </c>
      <c r="F25" t="s">
        <v>14</v>
      </c>
      <c r="G25" s="23">
        <v>230</v>
      </c>
      <c r="H25" t="s">
        <v>49</v>
      </c>
      <c r="I25" t="s">
        <v>50</v>
      </c>
    </row>
    <row r="26" spans="1:9" ht="14.4" customHeight="1" x14ac:dyDescent="0.3">
      <c r="A26" t="s">
        <v>11</v>
      </c>
      <c r="B26" t="s">
        <v>42</v>
      </c>
      <c r="C26" t="s">
        <v>43</v>
      </c>
      <c r="D26" t="s">
        <v>15</v>
      </c>
      <c r="E26" t="s">
        <v>15</v>
      </c>
      <c r="F26" t="s">
        <v>14</v>
      </c>
      <c r="G26" s="23">
        <v>230</v>
      </c>
      <c r="H26" t="s">
        <v>41</v>
      </c>
      <c r="I26" t="s">
        <v>51</v>
      </c>
    </row>
    <row r="27" spans="1:9" ht="14.4" customHeight="1" x14ac:dyDescent="0.3">
      <c r="A27" t="s">
        <v>11</v>
      </c>
      <c r="B27" t="s">
        <v>42</v>
      </c>
      <c r="C27" t="s">
        <v>43</v>
      </c>
      <c r="D27" t="s">
        <v>14</v>
      </c>
      <c r="E27" t="s">
        <v>15</v>
      </c>
      <c r="F27" t="s">
        <v>15</v>
      </c>
      <c r="G27" s="23">
        <v>230</v>
      </c>
      <c r="H27" t="s">
        <v>52</v>
      </c>
      <c r="I27" t="s">
        <v>53</v>
      </c>
    </row>
    <row r="28" spans="1:9" ht="14.4" customHeight="1" x14ac:dyDescent="0.3">
      <c r="A28" t="s">
        <v>54</v>
      </c>
      <c r="B28" t="s">
        <v>55</v>
      </c>
      <c r="C28" t="s">
        <v>56</v>
      </c>
      <c r="D28" t="s">
        <v>15</v>
      </c>
      <c r="E28" t="s">
        <v>15</v>
      </c>
      <c r="F28" t="s">
        <v>14</v>
      </c>
      <c r="G28" s="23">
        <v>578</v>
      </c>
      <c r="H28" t="s">
        <v>57</v>
      </c>
      <c r="I28" t="s">
        <v>58</v>
      </c>
    </row>
    <row r="29" spans="1:9" ht="14.4" customHeight="1" x14ac:dyDescent="0.3">
      <c r="A29" t="s">
        <v>54</v>
      </c>
      <c r="B29" t="s">
        <v>55</v>
      </c>
      <c r="C29" t="s">
        <v>56</v>
      </c>
      <c r="D29" t="s">
        <v>14</v>
      </c>
      <c r="E29" t="s">
        <v>15</v>
      </c>
      <c r="F29" t="s">
        <v>14</v>
      </c>
      <c r="G29" s="23">
        <v>578</v>
      </c>
      <c r="H29" t="s">
        <v>59</v>
      </c>
      <c r="I29" t="s">
        <v>60</v>
      </c>
    </row>
    <row r="30" spans="1:9" ht="14.4" customHeight="1" x14ac:dyDescent="0.3">
      <c r="A30" t="s">
        <v>54</v>
      </c>
      <c r="B30" t="s">
        <v>55</v>
      </c>
      <c r="C30" t="s">
        <v>61</v>
      </c>
      <c r="D30" t="s">
        <v>14</v>
      </c>
      <c r="E30" t="s">
        <v>14</v>
      </c>
      <c r="F30" t="s">
        <v>14</v>
      </c>
      <c r="G30" s="23">
        <v>590</v>
      </c>
      <c r="H30" t="s">
        <v>62</v>
      </c>
      <c r="I30" t="s">
        <v>63</v>
      </c>
    </row>
    <row r="31" spans="1:9" ht="14.4" customHeight="1" x14ac:dyDescent="0.3">
      <c r="A31" t="s">
        <v>54</v>
      </c>
      <c r="B31" t="s">
        <v>55</v>
      </c>
      <c r="C31" t="s">
        <v>61</v>
      </c>
      <c r="D31" t="s">
        <v>14</v>
      </c>
      <c r="E31" t="s">
        <v>15</v>
      </c>
      <c r="F31" t="s">
        <v>14</v>
      </c>
      <c r="G31" s="23">
        <v>590</v>
      </c>
      <c r="H31" s="24">
        <v>40577</v>
      </c>
      <c r="I31" t="s">
        <v>64</v>
      </c>
    </row>
    <row r="32" spans="1:9" ht="14.4" customHeight="1" x14ac:dyDescent="0.3">
      <c r="A32" t="s">
        <v>54</v>
      </c>
      <c r="B32" t="s">
        <v>55</v>
      </c>
      <c r="C32" t="s">
        <v>56</v>
      </c>
      <c r="D32" t="s">
        <v>14</v>
      </c>
      <c r="E32" t="s">
        <v>14</v>
      </c>
      <c r="F32" t="s">
        <v>14</v>
      </c>
      <c r="G32" s="23">
        <v>578</v>
      </c>
      <c r="H32" s="24">
        <v>40636</v>
      </c>
      <c r="I32" t="s">
        <v>65</v>
      </c>
    </row>
    <row r="33" spans="1:9" ht="14.4" customHeight="1" x14ac:dyDescent="0.3">
      <c r="A33" t="s">
        <v>54</v>
      </c>
      <c r="B33" t="s">
        <v>55</v>
      </c>
      <c r="C33" t="s">
        <v>56</v>
      </c>
      <c r="D33" t="s">
        <v>15</v>
      </c>
      <c r="E33" t="s">
        <v>15</v>
      </c>
      <c r="F33" t="s">
        <v>14</v>
      </c>
      <c r="G33" s="23">
        <v>578</v>
      </c>
      <c r="H33" s="24">
        <v>40697</v>
      </c>
      <c r="I33" t="s">
        <v>66</v>
      </c>
    </row>
    <row r="34" spans="1:9" ht="14.4" customHeight="1" x14ac:dyDescent="0.3">
      <c r="A34" t="s">
        <v>54</v>
      </c>
      <c r="B34" t="s">
        <v>55</v>
      </c>
      <c r="C34" t="s">
        <v>61</v>
      </c>
      <c r="D34" t="s">
        <v>14</v>
      </c>
      <c r="E34" t="s">
        <v>15</v>
      </c>
      <c r="F34" t="s">
        <v>14</v>
      </c>
      <c r="G34" s="23">
        <v>590</v>
      </c>
      <c r="H34" s="24">
        <v>40758</v>
      </c>
      <c r="I34" s="24">
        <v>40578</v>
      </c>
    </row>
    <row r="35" spans="1:9" ht="14.4" customHeight="1" x14ac:dyDescent="0.3">
      <c r="A35" t="s">
        <v>54</v>
      </c>
      <c r="B35" t="s">
        <v>55</v>
      </c>
      <c r="C35" t="s">
        <v>61</v>
      </c>
      <c r="D35" t="s">
        <v>14</v>
      </c>
      <c r="E35" t="s">
        <v>15</v>
      </c>
      <c r="F35" t="s">
        <v>14</v>
      </c>
      <c r="G35" s="23">
        <v>590</v>
      </c>
      <c r="H35" s="24">
        <v>40819</v>
      </c>
      <c r="I35" s="24">
        <v>40637</v>
      </c>
    </row>
    <row r="36" spans="1:9" ht="14.4" customHeight="1" x14ac:dyDescent="0.3">
      <c r="A36" t="s">
        <v>54</v>
      </c>
      <c r="B36" t="s">
        <v>67</v>
      </c>
      <c r="C36" t="s">
        <v>68</v>
      </c>
      <c r="D36" t="s">
        <v>14</v>
      </c>
      <c r="E36" t="s">
        <v>14</v>
      </c>
      <c r="F36" t="s">
        <v>14</v>
      </c>
      <c r="G36" s="23">
        <v>230</v>
      </c>
      <c r="H36" s="24">
        <v>40880</v>
      </c>
      <c r="I36" t="s">
        <v>69</v>
      </c>
    </row>
    <row r="37" spans="1:9" ht="14.4" customHeight="1" x14ac:dyDescent="0.3">
      <c r="A37" t="s">
        <v>54</v>
      </c>
      <c r="B37" t="s">
        <v>67</v>
      </c>
      <c r="C37" t="s">
        <v>70</v>
      </c>
      <c r="D37" t="s">
        <v>15</v>
      </c>
      <c r="E37" t="s">
        <v>15</v>
      </c>
      <c r="F37" t="s">
        <v>14</v>
      </c>
      <c r="G37" s="23">
        <v>250</v>
      </c>
      <c r="H37" t="s">
        <v>71</v>
      </c>
      <c r="I37" t="s">
        <v>69</v>
      </c>
    </row>
    <row r="38" spans="1:9" ht="14.4" customHeight="1" x14ac:dyDescent="0.3">
      <c r="A38" t="s">
        <v>54</v>
      </c>
      <c r="B38" t="s">
        <v>67</v>
      </c>
      <c r="C38" t="s">
        <v>68</v>
      </c>
      <c r="D38" t="s">
        <v>14</v>
      </c>
      <c r="E38" t="s">
        <v>15</v>
      </c>
      <c r="F38" t="s">
        <v>14</v>
      </c>
      <c r="G38" s="23">
        <v>230</v>
      </c>
      <c r="H38" t="s">
        <v>72</v>
      </c>
      <c r="I38" t="s">
        <v>58</v>
      </c>
    </row>
    <row r="39" spans="1:9" ht="14.4" customHeight="1" x14ac:dyDescent="0.3">
      <c r="A39" t="s">
        <v>54</v>
      </c>
      <c r="B39" t="s">
        <v>67</v>
      </c>
      <c r="C39" t="s">
        <v>73</v>
      </c>
      <c r="D39" t="s">
        <v>14</v>
      </c>
      <c r="E39" t="s">
        <v>15</v>
      </c>
      <c r="F39" t="s">
        <v>14</v>
      </c>
      <c r="G39" s="23">
        <v>200</v>
      </c>
      <c r="H39" t="s">
        <v>74</v>
      </c>
      <c r="I39" t="s">
        <v>58</v>
      </c>
    </row>
    <row r="40" spans="1:9" ht="14.4" customHeight="1" x14ac:dyDescent="0.3">
      <c r="A40" t="s">
        <v>54</v>
      </c>
      <c r="B40" t="s">
        <v>67</v>
      </c>
      <c r="C40" t="s">
        <v>73</v>
      </c>
      <c r="D40" t="s">
        <v>14</v>
      </c>
      <c r="E40" t="s">
        <v>15</v>
      </c>
      <c r="F40" t="s">
        <v>14</v>
      </c>
      <c r="G40" s="23">
        <v>200</v>
      </c>
      <c r="H40" t="s">
        <v>75</v>
      </c>
      <c r="I40" t="s">
        <v>60</v>
      </c>
    </row>
    <row r="41" spans="1:9" ht="14.4" customHeight="1" x14ac:dyDescent="0.3">
      <c r="A41" t="s">
        <v>54</v>
      </c>
      <c r="B41" t="s">
        <v>67</v>
      </c>
      <c r="C41" t="s">
        <v>68</v>
      </c>
      <c r="D41" t="s">
        <v>14</v>
      </c>
      <c r="E41" t="s">
        <v>14</v>
      </c>
      <c r="F41" t="s">
        <v>14</v>
      </c>
      <c r="G41" s="23">
        <v>230</v>
      </c>
      <c r="H41" t="s">
        <v>76</v>
      </c>
      <c r="I41" t="s">
        <v>64</v>
      </c>
    </row>
    <row r="42" spans="1:9" ht="14.4" customHeight="1" x14ac:dyDescent="0.3">
      <c r="A42" t="s">
        <v>54</v>
      </c>
      <c r="B42" t="s">
        <v>67</v>
      </c>
      <c r="C42" t="s">
        <v>68</v>
      </c>
      <c r="D42" t="s">
        <v>15</v>
      </c>
      <c r="E42" t="s">
        <v>15</v>
      </c>
      <c r="F42" t="s">
        <v>14</v>
      </c>
      <c r="G42" s="23">
        <v>230</v>
      </c>
      <c r="H42" t="s">
        <v>77</v>
      </c>
      <c r="I42" t="s">
        <v>65</v>
      </c>
    </row>
    <row r="43" spans="1:9" ht="14.4" customHeight="1" x14ac:dyDescent="0.3">
      <c r="A43" t="s">
        <v>54</v>
      </c>
      <c r="B43" t="s">
        <v>78</v>
      </c>
      <c r="C43" t="s">
        <v>79</v>
      </c>
      <c r="D43" t="s">
        <v>15</v>
      </c>
      <c r="E43" t="s">
        <v>15</v>
      </c>
      <c r="F43" t="s">
        <v>14</v>
      </c>
      <c r="G43" s="23">
        <v>560</v>
      </c>
      <c r="H43" t="s">
        <v>80</v>
      </c>
      <c r="I43" t="s">
        <v>81</v>
      </c>
    </row>
    <row r="44" spans="1:9" ht="14.4" customHeight="1" x14ac:dyDescent="0.3">
      <c r="A44" t="s">
        <v>54</v>
      </c>
      <c r="B44" t="s">
        <v>78</v>
      </c>
      <c r="C44" t="s">
        <v>79</v>
      </c>
      <c r="D44" t="s">
        <v>14</v>
      </c>
      <c r="E44" t="s">
        <v>15</v>
      </c>
      <c r="F44" t="s">
        <v>14</v>
      </c>
      <c r="G44" s="23">
        <v>560</v>
      </c>
      <c r="H44" t="s">
        <v>82</v>
      </c>
      <c r="I44" t="s">
        <v>83</v>
      </c>
    </row>
    <row r="45" spans="1:9" ht="14.4" customHeight="1" x14ac:dyDescent="0.3">
      <c r="A45" t="s">
        <v>54</v>
      </c>
      <c r="B45" t="s">
        <v>78</v>
      </c>
      <c r="C45" t="s">
        <v>84</v>
      </c>
      <c r="D45" t="s">
        <v>14</v>
      </c>
      <c r="E45" t="s">
        <v>15</v>
      </c>
      <c r="F45" t="s">
        <v>14</v>
      </c>
      <c r="G45" s="23">
        <v>300</v>
      </c>
      <c r="H45" t="s">
        <v>85</v>
      </c>
      <c r="I45" s="24">
        <v>40637</v>
      </c>
    </row>
    <row r="46" spans="1:9" ht="14.4" customHeight="1" x14ac:dyDescent="0.3">
      <c r="A46" t="s">
        <v>54</v>
      </c>
      <c r="B46" t="s">
        <v>78</v>
      </c>
      <c r="C46" t="s">
        <v>84</v>
      </c>
      <c r="D46" t="s">
        <v>14</v>
      </c>
      <c r="E46" t="s">
        <v>15</v>
      </c>
      <c r="F46" t="s">
        <v>14</v>
      </c>
      <c r="G46" s="23">
        <v>300</v>
      </c>
      <c r="H46" s="24">
        <v>40547</v>
      </c>
      <c r="I46" s="24">
        <v>40698</v>
      </c>
    </row>
    <row r="47" spans="1:9" ht="14.4" customHeight="1" x14ac:dyDescent="0.3">
      <c r="A47" t="s">
        <v>54</v>
      </c>
      <c r="B47" t="s">
        <v>78</v>
      </c>
      <c r="C47" t="s">
        <v>79</v>
      </c>
      <c r="D47" t="s">
        <v>15</v>
      </c>
      <c r="E47" t="s">
        <v>15</v>
      </c>
      <c r="F47" t="s">
        <v>14</v>
      </c>
      <c r="G47" s="23">
        <v>560</v>
      </c>
      <c r="H47" s="24">
        <v>40606</v>
      </c>
      <c r="I47" t="s">
        <v>86</v>
      </c>
    </row>
    <row r="48" spans="1:9" ht="14.4" customHeight="1" x14ac:dyDescent="0.3">
      <c r="A48" t="s">
        <v>54</v>
      </c>
      <c r="B48" t="s">
        <v>87</v>
      </c>
      <c r="C48" t="s">
        <v>88</v>
      </c>
      <c r="D48" t="s">
        <v>14</v>
      </c>
      <c r="E48" t="s">
        <v>15</v>
      </c>
      <c r="F48" t="s">
        <v>14</v>
      </c>
      <c r="G48" s="23">
        <v>1000</v>
      </c>
      <c r="H48" s="24">
        <v>40667</v>
      </c>
      <c r="I48" s="24">
        <v>40668</v>
      </c>
    </row>
    <row r="49" spans="1:9" ht="14.4" customHeight="1" x14ac:dyDescent="0.3">
      <c r="A49" t="s">
        <v>54</v>
      </c>
      <c r="B49" t="s">
        <v>87</v>
      </c>
      <c r="C49" t="s">
        <v>89</v>
      </c>
      <c r="D49" t="s">
        <v>14</v>
      </c>
      <c r="E49" t="s">
        <v>15</v>
      </c>
      <c r="F49" t="s">
        <v>14</v>
      </c>
      <c r="G49" s="23">
        <v>1200</v>
      </c>
      <c r="H49" s="24">
        <v>40728</v>
      </c>
      <c r="I49" s="24">
        <v>40729</v>
      </c>
    </row>
    <row r="50" spans="1:9" ht="14.4" customHeight="1" x14ac:dyDescent="0.3">
      <c r="A50" t="s">
        <v>54</v>
      </c>
      <c r="B50" t="s">
        <v>87</v>
      </c>
      <c r="C50" t="s">
        <v>88</v>
      </c>
      <c r="D50" t="s">
        <v>15</v>
      </c>
      <c r="E50" t="s">
        <v>15</v>
      </c>
      <c r="F50" t="s">
        <v>14</v>
      </c>
      <c r="G50" s="23">
        <v>1000</v>
      </c>
      <c r="H50" s="24">
        <v>40790</v>
      </c>
      <c r="I50" s="24">
        <v>40791</v>
      </c>
    </row>
    <row r="51" spans="1:9" ht="14.4" customHeight="1" x14ac:dyDescent="0.3">
      <c r="A51" t="s">
        <v>54</v>
      </c>
      <c r="B51" t="s">
        <v>87</v>
      </c>
      <c r="C51" t="s">
        <v>89</v>
      </c>
      <c r="D51" t="s">
        <v>14</v>
      </c>
      <c r="E51" t="s">
        <v>15</v>
      </c>
      <c r="F51" t="s">
        <v>14</v>
      </c>
      <c r="G51" s="23">
        <v>1200</v>
      </c>
      <c r="H51" s="24">
        <v>40851</v>
      </c>
      <c r="I51" s="24">
        <v>40852</v>
      </c>
    </row>
    <row r="52" spans="1:9" ht="14.4" customHeight="1" x14ac:dyDescent="0.3">
      <c r="A52" t="s">
        <v>54</v>
      </c>
      <c r="B52" t="s">
        <v>87</v>
      </c>
      <c r="C52" t="s">
        <v>88</v>
      </c>
      <c r="D52" t="s">
        <v>14</v>
      </c>
      <c r="E52" t="s">
        <v>15</v>
      </c>
      <c r="F52" t="s">
        <v>14</v>
      </c>
      <c r="G52" s="23">
        <v>1000</v>
      </c>
      <c r="H52" t="s">
        <v>90</v>
      </c>
      <c r="I52" t="s">
        <v>91</v>
      </c>
    </row>
    <row r="53" spans="1:9" ht="14.4" customHeight="1" x14ac:dyDescent="0.3">
      <c r="A53" t="s">
        <v>54</v>
      </c>
      <c r="B53" t="s">
        <v>87</v>
      </c>
      <c r="C53" t="s">
        <v>88</v>
      </c>
      <c r="D53" t="s">
        <v>14</v>
      </c>
      <c r="E53" t="s">
        <v>15</v>
      </c>
      <c r="F53" t="s">
        <v>15</v>
      </c>
      <c r="G53" s="23">
        <v>1000</v>
      </c>
      <c r="H53" t="s">
        <v>81</v>
      </c>
      <c r="I53" t="s">
        <v>92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8FC1AE8457DB746AFCDFCEEF2251DDA" ma:contentTypeVersion="7" ma:contentTypeDescription="Crie um novo documento." ma:contentTypeScope="" ma:versionID="0d391ebe0ec439d1d5e50021ec27844d">
  <xsd:schema xmlns:xsd="http://www.w3.org/2001/XMLSchema" xmlns:xs="http://www.w3.org/2001/XMLSchema" xmlns:p="http://schemas.microsoft.com/office/2006/metadata/properties" xmlns:ns3="feb9dd1c-72f8-4cf5-b1d6-478fe7d12981" targetNamespace="http://schemas.microsoft.com/office/2006/metadata/properties" ma:root="true" ma:fieldsID="a1675fbab947702f8b5fde66042d470b" ns3:_="">
    <xsd:import namespace="feb9dd1c-72f8-4cf5-b1d6-478fe7d1298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9dd1c-72f8-4cf5-b1d6-478fe7d1298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84CA40C-5C19-4674-ADD1-AFE40213F52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35FA9FB-12BB-4800-8F67-833395C3D8C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b9dd1c-72f8-4cf5-b1d6-478fe7d1298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38ED5E9-16DC-42E2-B664-8A6BBCACF6E2}">
  <ds:schemaRefs>
    <ds:schemaRef ds:uri="http://schemas.microsoft.com/office/2006/metadata/properties"/>
    <ds:schemaRef ds:uri="http://purl.org/dc/dcmitype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feb9dd1c-72f8-4cf5-b1d6-478fe7d12981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FORMULÁRIO</vt:lpstr>
      <vt:lpstr>FILTROS</vt:lpstr>
      <vt:lpstr>DADOS</vt:lpstr>
      <vt:lpstr>FILTROS!Area_de_extracao</vt:lpstr>
      <vt:lpstr>FORMULÁRIO!Area_de_extracao</vt:lpstr>
      <vt:lpstr>FILTROS!Criterios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 DEV Noturno</dc:creator>
  <cp:lastModifiedBy>Aluno DEV Noturno</cp:lastModifiedBy>
  <dcterms:created xsi:type="dcterms:W3CDTF">2023-05-31T22:57:11Z</dcterms:created>
  <dcterms:modified xsi:type="dcterms:W3CDTF">2023-06-07T23:51:19Z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0x01010008FC1AE8457DB746AFCDFCEEF2251DDA</vt:lpwstr>
  </property>
</Properties>
</file>