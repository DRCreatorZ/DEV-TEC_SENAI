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uno DEV Noturno\OneDrive - SESISENAISP - Escolas\DenerRicardoCastravechi\SOP\Excel\"/>
    </mc:Choice>
  </mc:AlternateContent>
  <xr:revisionPtr revIDLastSave="0" documentId="13_ncr:1_{7B0F23A2-C4AE-4BFB-9105-4FB18A8AE4E8}" xr6:coauthVersionLast="36" xr6:coauthVersionMax="36" xr10:uidLastSave="{00000000-0000-0000-0000-000000000000}"/>
  <bookViews>
    <workbookView xWindow="0" yWindow="0" windowWidth="23040" windowHeight="8940" activeTab="7" xr2:uid="{00000000-000D-0000-FFFF-FFFF00000000}"/>
  </bookViews>
  <sheets>
    <sheet name="Exercicio 1" sheetId="1" r:id="rId1"/>
    <sheet name="Exercicio 2" sheetId="2" r:id="rId2"/>
    <sheet name="Exercicio 3" sheetId="3" r:id="rId3"/>
    <sheet name="Exercício 4" sheetId="4" r:id="rId4"/>
    <sheet name="Exercicio 5" sheetId="5" r:id="rId5"/>
    <sheet name="Exercicio 6" sheetId="6" r:id="rId6"/>
    <sheet name="Planilha1" sheetId="7" r:id="rId7"/>
    <sheet name="Planilha2" sheetId="8" r:id="rId8"/>
  </sheets>
  <calcPr calcId="191029"/>
</workbook>
</file>

<file path=xl/calcChain.xml><?xml version="1.0" encoding="utf-8"?>
<calcChain xmlns="http://schemas.openxmlformats.org/spreadsheetml/2006/main">
  <c r="E17" i="6" l="1"/>
  <c r="E16" i="6"/>
  <c r="E15" i="6"/>
  <c r="F7" i="6"/>
  <c r="F8" i="6"/>
  <c r="F9" i="6"/>
  <c r="F10" i="6"/>
  <c r="F6" i="6"/>
  <c r="C7" i="6"/>
  <c r="C8" i="6"/>
  <c r="C9" i="6"/>
  <c r="C10" i="6"/>
  <c r="C6" i="6"/>
  <c r="E11" i="5"/>
  <c r="D11" i="5"/>
  <c r="C11" i="5"/>
  <c r="B11" i="5"/>
  <c r="E10" i="5"/>
  <c r="D10" i="5"/>
  <c r="C10" i="5"/>
  <c r="B10" i="5"/>
  <c r="C15" i="4"/>
  <c r="C14" i="4"/>
  <c r="C13" i="4"/>
  <c r="C10" i="4"/>
  <c r="D10" i="4"/>
  <c r="E10" i="4"/>
  <c r="F10" i="4"/>
  <c r="G10" i="4"/>
  <c r="B10" i="4"/>
  <c r="I6" i="4"/>
  <c r="I7" i="4"/>
  <c r="I8" i="4"/>
  <c r="I9" i="4"/>
  <c r="I5" i="4"/>
  <c r="H6" i="4"/>
  <c r="H7" i="4"/>
  <c r="H8" i="4"/>
  <c r="H9" i="4"/>
  <c r="H5" i="4"/>
  <c r="F6" i="3"/>
  <c r="F7" i="3"/>
  <c r="F8" i="3"/>
  <c r="F9" i="3"/>
  <c r="F10" i="3"/>
  <c r="F11" i="3"/>
  <c r="F12" i="3"/>
  <c r="F13" i="3"/>
  <c r="F14" i="3"/>
  <c r="F5" i="3"/>
  <c r="J10" i="3"/>
  <c r="J8" i="3"/>
  <c r="J6" i="3"/>
  <c r="D16" i="2"/>
  <c r="I8" i="2"/>
  <c r="I13" i="2"/>
  <c r="I14" i="2"/>
  <c r="H8" i="2"/>
  <c r="H9" i="2"/>
  <c r="I9" i="2" s="1"/>
  <c r="H10" i="2"/>
  <c r="I10" i="2" s="1"/>
  <c r="H12" i="2"/>
  <c r="I12" i="2" s="1"/>
  <c r="H13" i="2"/>
  <c r="H14" i="2"/>
  <c r="H7" i="2"/>
  <c r="I7" i="2" s="1"/>
  <c r="F9" i="2"/>
  <c r="F10" i="2"/>
  <c r="F12" i="2"/>
  <c r="F7" i="2"/>
  <c r="E8" i="2"/>
  <c r="F8" i="2" s="1"/>
  <c r="E9" i="2"/>
  <c r="E10" i="2"/>
  <c r="E12" i="2"/>
  <c r="E13" i="2"/>
  <c r="F13" i="2" s="1"/>
  <c r="E14" i="2"/>
  <c r="F14" i="2" s="1"/>
  <c r="E7" i="2"/>
  <c r="B15" i="1"/>
  <c r="E8" i="1"/>
  <c r="E9" i="1"/>
  <c r="E10" i="1"/>
  <c r="E11" i="1"/>
  <c r="E12" i="1"/>
  <c r="E13" i="1"/>
  <c r="E7" i="1"/>
</calcChain>
</file>

<file path=xl/sharedStrings.xml><?xml version="1.0" encoding="utf-8"?>
<sst xmlns="http://schemas.openxmlformats.org/spreadsheetml/2006/main" count="136" uniqueCount="127">
  <si>
    <t>Tabela de Produtos da Papelaria</t>
  </si>
  <si>
    <t>Importados</t>
  </si>
  <si>
    <t>Preço em Dólar:</t>
  </si>
  <si>
    <t>Valores por Unidade</t>
  </si>
  <si>
    <t>Produtos</t>
  </si>
  <si>
    <t>Quantidade</t>
  </si>
  <si>
    <t>Preço Compra</t>
  </si>
  <si>
    <t>Aumento</t>
  </si>
  <si>
    <t>Preço de venda</t>
  </si>
  <si>
    <t>Lapis</t>
  </si>
  <si>
    <t>Caneta</t>
  </si>
  <si>
    <t>Caderno 100 folhas</t>
  </si>
  <si>
    <t>Caderno 200 folhas</t>
  </si>
  <si>
    <t>Borracha</t>
  </si>
  <si>
    <t>Lapiseira 0.5</t>
  </si>
  <si>
    <t>Lapiseira 0.7</t>
  </si>
  <si>
    <t>Total de Produtos:</t>
  </si>
  <si>
    <t xml:space="preserve"> </t>
  </si>
  <si>
    <t>Veículos</t>
  </si>
  <si>
    <t>Quantidade em Estoque</t>
  </si>
  <si>
    <t>Valores de Venda</t>
  </si>
  <si>
    <t>à vista</t>
  </si>
  <si>
    <t>12 X</t>
  </si>
  <si>
    <t>36 X</t>
  </si>
  <si>
    <t>Nacionais</t>
  </si>
  <si>
    <t>acréscimo</t>
  </si>
  <si>
    <t>Valor adicional</t>
  </si>
  <si>
    <t>Valor Final</t>
  </si>
  <si>
    <t>Vectra</t>
  </si>
  <si>
    <t>Marea</t>
  </si>
  <si>
    <t>Omega</t>
  </si>
  <si>
    <t>Golf</t>
  </si>
  <si>
    <t>Mercedes</t>
  </si>
  <si>
    <t>BMW</t>
  </si>
  <si>
    <t>Passat</t>
  </si>
  <si>
    <t>Total de carros em estoque:</t>
  </si>
  <si>
    <t>Obs. 1: Compras em 12 X será acrescentado um valor de 15% ao valor de à vista</t>
  </si>
  <si>
    <t>Obs. 2: Compras em 36 X será acrescentado um valor de 25% ao valor de à vista</t>
  </si>
  <si>
    <t>IMPORTAÇÃO DE PRODUTOS</t>
  </si>
  <si>
    <t>Dias</t>
  </si>
  <si>
    <t>Valor do Dolar</t>
  </si>
  <si>
    <t>Valor em Dolar</t>
  </si>
  <si>
    <t>Valor em Reais</t>
  </si>
  <si>
    <t>Cotações do Dolar</t>
  </si>
  <si>
    <t>Produto 1</t>
  </si>
  <si>
    <t>Produto 2</t>
  </si>
  <si>
    <t>Valor Médio:</t>
  </si>
  <si>
    <t>Produto 3</t>
  </si>
  <si>
    <t>Produto 4</t>
  </si>
  <si>
    <t>Maior valor alcançado:</t>
  </si>
  <si>
    <t>Produto 5</t>
  </si>
  <si>
    <t>Produto 6</t>
  </si>
  <si>
    <t>Menor valor alcançado:</t>
  </si>
  <si>
    <t>Produto 7</t>
  </si>
  <si>
    <t>Produto 8</t>
  </si>
  <si>
    <t>Produto 9</t>
  </si>
  <si>
    <t>Produto 10</t>
  </si>
  <si>
    <t>Margem atual Dólar:</t>
  </si>
  <si>
    <t>Obs.: Os cálculos foram feitos em relação ao valor médio do dolar.</t>
  </si>
  <si>
    <t>ORÇAMENTO MENSAL</t>
  </si>
  <si>
    <t>DESPESAS</t>
  </si>
  <si>
    <t>Total de gastos por despesa</t>
  </si>
  <si>
    <t>Média de gastos por despesa</t>
  </si>
  <si>
    <t>Água</t>
  </si>
  <si>
    <t>Luz</t>
  </si>
  <si>
    <t>Telefone</t>
  </si>
  <si>
    <t>Aluquel</t>
  </si>
  <si>
    <t>Compras</t>
  </si>
  <si>
    <t>Total dos gastos por mês:</t>
  </si>
  <si>
    <t>Maior gasto do semestre:</t>
  </si>
  <si>
    <t>Menor gasto do semestre:</t>
  </si>
  <si>
    <t>Média dos totais de gastos no semestre:</t>
  </si>
  <si>
    <t>Lojas Pesquisadas (Preços)</t>
  </si>
  <si>
    <t>EPI´s</t>
  </si>
  <si>
    <t>Loja1</t>
  </si>
  <si>
    <t>Loja2</t>
  </si>
  <si>
    <t>Loja3</t>
  </si>
  <si>
    <t>Loja4</t>
  </si>
  <si>
    <t>Capacete</t>
  </si>
  <si>
    <t>Prot Auricular</t>
  </si>
  <si>
    <t>Luvas</t>
  </si>
  <si>
    <t>Botas</t>
  </si>
  <si>
    <t>Melhor Preço:</t>
  </si>
  <si>
    <t>Qual Loja?</t>
  </si>
  <si>
    <t>Tabela de Salários do Setor XXXXX</t>
  </si>
  <si>
    <t>FGTS:</t>
  </si>
  <si>
    <t>Descontos Diversos</t>
  </si>
  <si>
    <t>Nome Funcionário</t>
  </si>
  <si>
    <t>Salário Bruto</t>
  </si>
  <si>
    <t>FGTS</t>
  </si>
  <si>
    <t>Plano de Saúde</t>
  </si>
  <si>
    <t>Outros</t>
  </si>
  <si>
    <t>Salário Liquido</t>
  </si>
  <si>
    <t>Funcionário 1</t>
  </si>
  <si>
    <t>Funcionário 2</t>
  </si>
  <si>
    <t>Funcionário 3</t>
  </si>
  <si>
    <t>Funcionário 4</t>
  </si>
  <si>
    <t>Funcionário 5</t>
  </si>
  <si>
    <t>Obs.1: O valor do desconto do FGTS será em relação ao salario bruto e esta referenciado na célula B2</t>
  </si>
  <si>
    <t>Maior Salário Liquido:</t>
  </si>
  <si>
    <t>Menor Salário Liquido:</t>
  </si>
  <si>
    <t>Média Salarial da Empresa:</t>
  </si>
  <si>
    <t>Coluna1</t>
  </si>
  <si>
    <t>Coluna2</t>
  </si>
  <si>
    <t>Coluna3</t>
  </si>
  <si>
    <t>Coluna4</t>
  </si>
  <si>
    <t>Coluna5</t>
  </si>
  <si>
    <t>Coluna6</t>
  </si>
  <si>
    <t>Coluna7</t>
  </si>
  <si>
    <t>Coluna8</t>
  </si>
  <si>
    <t>Coluna9</t>
  </si>
  <si>
    <t>Estados</t>
  </si>
  <si>
    <t>SP</t>
  </si>
  <si>
    <t>RJ</t>
  </si>
  <si>
    <t>MG</t>
  </si>
  <si>
    <t>ES</t>
  </si>
  <si>
    <t>Cidades</t>
  </si>
  <si>
    <t>Limeira</t>
  </si>
  <si>
    <t>São Paulo</t>
  </si>
  <si>
    <t>Rio de janeiro</t>
  </si>
  <si>
    <t>Parati</t>
  </si>
  <si>
    <t>Belo Horizonte</t>
  </si>
  <si>
    <t>Três Corações</t>
  </si>
  <si>
    <t>Vitória</t>
  </si>
  <si>
    <t>Guarapari</t>
  </si>
  <si>
    <t>Código</t>
  </si>
  <si>
    <t>Procurar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</si>
</sst>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R$ &quot;* #,##0.00_);_(&quot;R$ &quot;* \(#,##0.00\);_(&quot;R$ &quot;* \-??_);_(@_)"/>
    <numFmt numFmtId="165" formatCode="&quot;R$ &quot;#,##0"/>
    <numFmt numFmtId="166" formatCode="_([$$-409]* #,##0.00_);_([$$-409]* \(#,##0.00\);_([$$-409]* &quot;-&quot;??_);_(@_)"/>
    <numFmt numFmtId="167" formatCode="&quot;R$ &quot;#,##0.00_);&quot;(R$ &quot;#,##0.00\)"/>
    <numFmt numFmtId="168" formatCode="&quot;$&quot;#,##0.00"/>
    <numFmt numFmtId="169" formatCode="mm/yy"/>
  </numFmts>
  <fonts count="11" x14ac:knownFonts="1">
    <font>
      <sz val="10"/>
      <color theme="1"/>
      <name val="Arial"/>
    </font>
    <font>
      <sz val="10"/>
      <name val="Arial"/>
      <family val="2"/>
    </font>
    <font>
      <sz val="10"/>
      <name val="Trebuchet MS"/>
      <family val="2"/>
    </font>
    <font>
      <b/>
      <sz val="12"/>
      <name val="Trebuchet MS"/>
      <family val="2"/>
    </font>
    <font>
      <b/>
      <sz val="10"/>
      <name val="Trebuchet MS"/>
      <family val="2"/>
    </font>
    <font>
      <b/>
      <sz val="14"/>
      <name val="Trebuchet MS"/>
      <family val="2"/>
    </font>
    <font>
      <b/>
      <sz val="10"/>
      <color indexed="4"/>
      <name val="Trebuchet MS"/>
      <family val="2"/>
    </font>
    <font>
      <sz val="10"/>
      <color theme="1"/>
      <name val="Arial"/>
      <family val="2"/>
    </font>
    <font>
      <b/>
      <sz val="10"/>
      <color theme="8" tint="-0.499984740745262"/>
      <name val="Arial"/>
      <family val="2"/>
    </font>
    <font>
      <sz val="10"/>
      <color rgb="FF000000"/>
      <name val="Arial"/>
      <family val="2"/>
    </font>
    <font>
      <sz val="8"/>
      <color rgb="FF000000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2"/>
        <bgColor indexed="27"/>
      </patternFill>
    </fill>
    <fill>
      <patternFill patternType="solid">
        <fgColor indexed="27"/>
        <bgColor indexed="27"/>
      </patternFill>
    </fill>
    <fill>
      <patternFill patternType="solid">
        <fgColor indexed="5"/>
        <bgColor indexed="5"/>
      </patternFill>
    </fill>
    <fill>
      <patternFill patternType="solid">
        <fgColor indexed="7"/>
        <bgColor indexed="7"/>
      </patternFill>
    </fill>
    <fill>
      <patternFill patternType="solid">
        <fgColor indexed="3"/>
        <bgColor indexed="4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indexed="55"/>
      </patternFill>
    </fill>
    <fill>
      <patternFill patternType="solid">
        <fgColor theme="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rgb="FF1A1A1A"/>
      </left>
      <right/>
      <top style="thin">
        <color rgb="FF1A1A1A"/>
      </top>
      <bottom style="thin">
        <color rgb="FF1A1A1A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/>
      <right style="thin">
        <color rgb="FF1A1A1A"/>
      </right>
      <top style="thin">
        <color rgb="FF1A1A1A"/>
      </top>
      <bottom style="thin">
        <color rgb="FF1A1A1A"/>
      </bottom>
      <diagonal/>
    </border>
    <border>
      <left style="thin">
        <color rgb="FF1A1A1A"/>
      </left>
      <right style="thin">
        <color rgb="FF1A1A1A"/>
      </right>
      <top/>
      <bottom style="thin">
        <color rgb="FF1A1A1A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rgb="FF1A1A1A"/>
      </top>
      <bottom style="thin">
        <color rgb="FF1A1A1A"/>
      </bottom>
      <diagonal/>
    </border>
    <border>
      <left style="thin">
        <color rgb="FF1A1A1A"/>
      </left>
      <right/>
      <top/>
      <bottom style="thin">
        <color rgb="FF1A1A1A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/>
      <diagonal/>
    </border>
    <border>
      <left style="thin">
        <color rgb="FF1A1A1A"/>
      </left>
      <right style="thin">
        <color rgb="FF1A1A1A"/>
      </right>
      <top/>
      <bottom/>
      <diagonal/>
    </border>
    <border>
      <left/>
      <right/>
      <top/>
      <bottom style="thin">
        <color rgb="FF1A1A1A"/>
      </bottom>
      <diagonal/>
    </border>
    <border>
      <left/>
      <right style="thin">
        <color rgb="FF1A1A1A"/>
      </right>
      <top/>
      <bottom style="thin">
        <color rgb="FF1A1A1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ill="0" applyBorder="0" applyProtection="0"/>
  </cellStyleXfs>
  <cellXfs count="93">
    <xf numFmtId="0" fontId="0" fillId="0" borderId="0" xfId="0"/>
    <xf numFmtId="0" fontId="2" fillId="0" borderId="0" xfId="0" applyFont="1"/>
    <xf numFmtId="164" fontId="2" fillId="4" borderId="2" xfId="1" applyNumberFormat="1" applyFont="1" applyFill="1" applyBorder="1" applyAlignment="1" applyProtection="1">
      <alignment horizontal="center"/>
    </xf>
    <xf numFmtId="0" fontId="3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9" fontId="3" fillId="0" borderId="4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2" xfId="1" applyNumberFormat="1" applyFont="1" applyBorder="1" applyAlignment="1" applyProtection="1">
      <alignment horizontal="center"/>
    </xf>
    <xf numFmtId="9" fontId="4" fillId="0" borderId="2" xfId="0" applyNumberFormat="1" applyFont="1" applyBorder="1" applyAlignment="1">
      <alignment horizontal="center"/>
    </xf>
    <xf numFmtId="165" fontId="4" fillId="0" borderId="2" xfId="0" applyNumberFormat="1" applyFont="1" applyBorder="1" applyAlignment="1">
      <alignment horizontal="center"/>
    </xf>
    <xf numFmtId="0" fontId="4" fillId="0" borderId="5" xfId="0" applyFont="1" applyBorder="1"/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/>
    <xf numFmtId="14" fontId="2" fillId="5" borderId="2" xfId="0" applyNumberFormat="1" applyFont="1" applyFill="1" applyBorder="1" applyAlignment="1">
      <alignment horizontal="center"/>
    </xf>
    <xf numFmtId="164" fontId="2" fillId="5" borderId="2" xfId="1" applyNumberFormat="1" applyFont="1" applyFill="1" applyBorder="1" applyAlignment="1" applyProtection="1">
      <alignment horizontal="center"/>
    </xf>
    <xf numFmtId="0" fontId="2" fillId="5" borderId="2" xfId="0" applyFont="1" applyFill="1" applyBorder="1"/>
    <xf numFmtId="166" fontId="2" fillId="5" borderId="2" xfId="0" applyNumberFormat="1" applyFont="1" applyFill="1" applyBorder="1" applyAlignment="1">
      <alignment horizontal="center"/>
    </xf>
    <xf numFmtId="167" fontId="2" fillId="4" borderId="2" xfId="1" applyNumberFormat="1" applyFont="1" applyFill="1" applyBorder="1" applyAlignment="1" applyProtection="1">
      <alignment horizontal="center"/>
    </xf>
    <xf numFmtId="0" fontId="4" fillId="2" borderId="2" xfId="0" applyFont="1" applyFill="1" applyBorder="1" applyAlignment="1">
      <alignment horizontal="left"/>
    </xf>
    <xf numFmtId="164" fontId="2" fillId="0" borderId="0" xfId="1" applyNumberFormat="1" applyFont="1" applyProtection="1"/>
    <xf numFmtId="168" fontId="2" fillId="5" borderId="2" xfId="0" applyNumberFormat="1" applyFont="1" applyFill="1" applyBorder="1" applyAlignment="1">
      <alignment horizontal="center"/>
    </xf>
    <xf numFmtId="0" fontId="2" fillId="6" borderId="1" xfId="0" applyFont="1" applyFill="1" applyBorder="1"/>
    <xf numFmtId="0" fontId="2" fillId="6" borderId="6" xfId="0" applyFont="1" applyFill="1" applyBorder="1"/>
    <xf numFmtId="0" fontId="2" fillId="6" borderId="3" xfId="0" applyFont="1" applyFill="1" applyBorder="1"/>
    <xf numFmtId="0" fontId="6" fillId="2" borderId="2" xfId="0" applyFont="1" applyFill="1" applyBorder="1" applyAlignment="1">
      <alignment horizontal="center" vertical="center" wrapText="1"/>
    </xf>
    <xf numFmtId="169" fontId="6" fillId="2" borderId="2" xfId="0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left"/>
    </xf>
    <xf numFmtId="164" fontId="2" fillId="4" borderId="2" xfId="0" applyNumberFormat="1" applyFont="1" applyFill="1" applyBorder="1" applyAlignment="1">
      <alignment horizontal="center"/>
    </xf>
    <xf numFmtId="11" fontId="6" fillId="2" borderId="4" xfId="0" applyNumberFormat="1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164" fontId="2" fillId="8" borderId="2" xfId="0" applyNumberFormat="1" applyFont="1" applyFill="1" applyBorder="1" applyAlignment="1">
      <alignment horizontal="center"/>
    </xf>
    <xf numFmtId="0" fontId="3" fillId="9" borderId="4" xfId="0" applyFont="1" applyFill="1" applyBorder="1" applyAlignment="1">
      <alignment horizontal="center"/>
    </xf>
    <xf numFmtId="9" fontId="4" fillId="9" borderId="4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2" xfId="0" applyFont="1" applyFill="1" applyBorder="1"/>
    <xf numFmtId="164" fontId="2" fillId="5" borderId="2" xfId="1" applyNumberFormat="1" applyFont="1" applyFill="1" applyBorder="1" applyProtection="1"/>
    <xf numFmtId="164" fontId="2" fillId="4" borderId="4" xfId="1" applyNumberFormat="1" applyFont="1" applyFill="1" applyBorder="1" applyAlignment="1" applyProtection="1">
      <alignment horizontal="center"/>
    </xf>
    <xf numFmtId="164" fontId="2" fillId="5" borderId="4" xfId="1" applyNumberFormat="1" applyFont="1" applyFill="1" applyBorder="1" applyProtection="1"/>
    <xf numFmtId="164" fontId="2" fillId="0" borderId="0" xfId="0" applyNumberFormat="1" applyFont="1"/>
    <xf numFmtId="164" fontId="2" fillId="4" borderId="5" xfId="1" applyNumberFormat="1" applyFont="1" applyFill="1" applyBorder="1" applyAlignment="1" applyProtection="1">
      <alignment horizontal="center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11" borderId="3" xfId="0" applyFont="1" applyFill="1" applyBorder="1" applyAlignment="1">
      <alignment horizontal="center"/>
    </xf>
    <xf numFmtId="164" fontId="4" fillId="12" borderId="2" xfId="1" applyNumberFormat="1" applyFont="1" applyFill="1" applyBorder="1" applyAlignment="1" applyProtection="1">
      <alignment horizontal="center"/>
    </xf>
    <xf numFmtId="9" fontId="4" fillId="12" borderId="2" xfId="0" applyNumberFormat="1" applyFont="1" applyFill="1" applyBorder="1" applyAlignment="1">
      <alignment horizontal="center"/>
    </xf>
    <xf numFmtId="165" fontId="4" fillId="11" borderId="2" xfId="0" applyNumberFormat="1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0" xfId="0" applyFill="1" applyAlignment="1">
      <alignment horizontal="center"/>
    </xf>
    <xf numFmtId="0" fontId="0" fillId="15" borderId="19" xfId="0" applyFill="1" applyBorder="1" applyAlignment="1">
      <alignment horizontal="center"/>
    </xf>
    <xf numFmtId="0" fontId="0" fillId="15" borderId="12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0" fillId="14" borderId="17" xfId="0" applyFill="1" applyBorder="1"/>
    <xf numFmtId="0" fontId="0" fillId="14" borderId="16" xfId="0" applyFill="1" applyBorder="1"/>
    <xf numFmtId="0" fontId="0" fillId="14" borderId="18" xfId="0" applyFill="1" applyBorder="1"/>
    <xf numFmtId="0" fontId="0" fillId="14" borderId="17" xfId="0" applyFill="1" applyBorder="1" applyAlignment="1">
      <alignment horizontal="center"/>
    </xf>
    <xf numFmtId="0" fontId="0" fillId="14" borderId="16" xfId="0" applyFill="1" applyBorder="1" applyAlignment="1">
      <alignment horizontal="center"/>
    </xf>
    <xf numFmtId="0" fontId="0" fillId="14" borderId="18" xfId="0" applyFill="1" applyBorder="1" applyAlignment="1">
      <alignment horizontal="center"/>
    </xf>
    <xf numFmtId="0" fontId="8" fillId="15" borderId="12" xfId="0" applyFont="1" applyFill="1" applyBorder="1" applyAlignment="1">
      <alignment horizontal="center"/>
    </xf>
    <xf numFmtId="0" fontId="8" fillId="15" borderId="13" xfId="0" applyFont="1" applyFill="1" applyBorder="1" applyAlignment="1">
      <alignment horizontal="center"/>
    </xf>
    <xf numFmtId="0" fontId="8" fillId="15" borderId="19" xfId="0" applyFont="1" applyFill="1" applyBorder="1" applyAlignment="1">
      <alignment horizontal="center"/>
    </xf>
    <xf numFmtId="0" fontId="7" fillId="0" borderId="0" xfId="0" applyFont="1"/>
    <xf numFmtId="0" fontId="8" fillId="15" borderId="19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4" fillId="7" borderId="2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none"/>
      </font>
    </dxf>
    <dxf>
      <border outline="0">
        <top style="thin">
          <color rgb="FF1A1A1A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rebuchet MS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Drop" dropStyle="combo" dx="26" fmlaLink="Planilha1!$B$1" fmlaRange="Planilha1!$B$3:$B$6" sel="4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ist" dx="26" fmlaLink="Planilha1!$C$1" fmlaRange="Planilha1!$C$3:$C$10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160020</xdr:rowOff>
        </xdr:from>
        <xdr:to>
          <xdr:col>9</xdr:col>
          <xdr:colOff>0</xdr:colOff>
          <xdr:row>3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Formatar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</xdr:row>
          <xdr:rowOff>0</xdr:rowOff>
        </xdr:from>
        <xdr:to>
          <xdr:col>8</xdr:col>
          <xdr:colOff>617220</xdr:colOff>
          <xdr:row>6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Formatação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76200</xdr:rowOff>
        </xdr:from>
        <xdr:to>
          <xdr:col>13</xdr:col>
          <xdr:colOff>121920</xdr:colOff>
          <xdr:row>26</xdr:row>
          <xdr:rowOff>60960</xdr:rowOff>
        </xdr:to>
        <xdr:sp macro="" textlink="">
          <xdr:nvSpPr>
            <xdr:cNvPr id="7169" name="Group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Estados do Brasil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5</xdr:row>
          <xdr:rowOff>53340</xdr:rowOff>
        </xdr:from>
        <xdr:to>
          <xdr:col>5</xdr:col>
          <xdr:colOff>198120</xdr:colOff>
          <xdr:row>8</xdr:row>
          <xdr:rowOff>121920</xdr:rowOff>
        </xdr:to>
        <xdr:sp macro="" textlink="">
          <xdr:nvSpPr>
            <xdr:cNvPr id="7172" name="Label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o Estado: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441960</xdr:colOff>
          <xdr:row>5</xdr:row>
          <xdr:rowOff>60960</xdr:rowOff>
        </xdr:from>
        <xdr:to>
          <xdr:col>11</xdr:col>
          <xdr:colOff>91440</xdr:colOff>
          <xdr:row>6</xdr:row>
          <xdr:rowOff>114300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21</xdr:row>
          <xdr:rowOff>137160</xdr:rowOff>
        </xdr:from>
        <xdr:to>
          <xdr:col>12</xdr:col>
          <xdr:colOff>137160</xdr:colOff>
          <xdr:row>25</xdr:row>
          <xdr:rowOff>45720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434340</xdr:colOff>
          <xdr:row>8</xdr:row>
          <xdr:rowOff>121920</xdr:rowOff>
        </xdr:from>
        <xdr:to>
          <xdr:col>11</xdr:col>
          <xdr:colOff>106680</xdr:colOff>
          <xdr:row>15</xdr:row>
          <xdr:rowOff>160020</xdr:rowOff>
        </xdr:to>
        <xdr:sp macro="" textlink="">
          <xdr:nvSpPr>
            <xdr:cNvPr id="7175" name="List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CA684E7A-CE68-4DD0-B496-A5A95B5D6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23857A-BECF-4106-A361-3DAA5502EE0E}" name="Tabela2" displayName="Tabela2" ref="A3:I19" totalsRowShown="0" headerRowDxfId="7" dataDxfId="6" tableBorderDxfId="5">
  <autoFilter ref="A3:I19" xr:uid="{3D404FC5-9179-4334-9B4D-5700C924FE94}"/>
  <tableColumns count="9">
    <tableColumn id="1" xr3:uid="{729249D5-20C4-44EF-9E4B-CCC6F046E005}" name="Coluna1"/>
    <tableColumn id="2" xr3:uid="{F6EA6BF1-277E-4E4D-8749-36FD8BC047E8}" name="Coluna2"/>
    <tableColumn id="3" xr3:uid="{5512BD64-0114-4CFA-BD91-25E61DB1D987}" name="Coluna3"/>
    <tableColumn id="4" xr3:uid="{F50C0C28-52A4-4001-B45D-A4629501CF20}" name="Coluna4"/>
    <tableColumn id="5" xr3:uid="{0C6E2EA1-C0DE-41A6-9166-B77DCBA61355}" name="Coluna5" dataDxfId="4"/>
    <tableColumn id="6" xr3:uid="{06B61A62-2167-4078-BB11-F706076EE54D}" name="Coluna6" dataDxfId="3"/>
    <tableColumn id="7" xr3:uid="{08F4424C-BD85-4F0F-9256-15974B341289}" name="Coluna7" dataDxfId="2"/>
    <tableColumn id="8" xr3:uid="{B7A95352-582A-4115-BD0D-0702FDC9F565}" name="Coluna8" dataDxfId="1"/>
    <tableColumn id="9" xr3:uid="{FC745CA8-D5FF-4E06-A274-5FDCDA4008F8}" name="Coluna9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Escritório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19"/>
  <sheetViews>
    <sheetView workbookViewId="0">
      <selection activeCell="I24" sqref="I24"/>
    </sheetView>
  </sheetViews>
  <sheetFormatPr defaultColWidth="9.109375" defaultRowHeight="13.2" x14ac:dyDescent="0.25"/>
  <cols>
    <col min="1" max="1" width="22.44140625" customWidth="1"/>
    <col min="2" max="2" width="15.5546875" bestFit="1" customWidth="1"/>
    <col min="3" max="3" width="16.88671875" bestFit="1" customWidth="1"/>
    <col min="4" max="4" width="11" bestFit="1" customWidth="1"/>
    <col min="5" max="5" width="17.44140625" customWidth="1"/>
  </cols>
  <sheetData>
    <row r="1" spans="1:5" x14ac:dyDescent="0.25">
      <c r="A1" s="82" t="s">
        <v>0</v>
      </c>
      <c r="B1" s="82"/>
      <c r="C1" s="82"/>
      <c r="D1" s="82"/>
      <c r="E1" s="80" t="s">
        <v>1</v>
      </c>
    </row>
    <row r="2" spans="1:5" x14ac:dyDescent="0.25">
      <c r="A2" s="73"/>
      <c r="B2" s="72"/>
      <c r="C2" s="72"/>
      <c r="D2" s="72"/>
      <c r="E2" s="74"/>
    </row>
    <row r="3" spans="1:5" x14ac:dyDescent="0.25">
      <c r="A3" s="79" t="s">
        <v>2</v>
      </c>
      <c r="B3" s="70">
        <v>4.93</v>
      </c>
      <c r="C3" s="70"/>
      <c r="D3" s="70"/>
      <c r="E3" s="71"/>
    </row>
    <row r="4" spans="1:5" x14ac:dyDescent="0.25">
      <c r="A4" s="67"/>
      <c r="B4" s="67"/>
      <c r="C4" s="67"/>
      <c r="D4" s="67"/>
      <c r="E4" s="67"/>
    </row>
    <row r="5" spans="1:5" x14ac:dyDescent="0.25">
      <c r="A5" s="78" t="s">
        <v>3</v>
      </c>
      <c r="B5" s="69"/>
      <c r="C5" s="69"/>
      <c r="D5" s="69"/>
      <c r="E5" s="69"/>
    </row>
    <row r="6" spans="1:5" x14ac:dyDescent="0.25">
      <c r="A6" s="78" t="s">
        <v>4</v>
      </c>
      <c r="B6" s="78" t="s">
        <v>5</v>
      </c>
      <c r="C6" s="78" t="s">
        <v>6</v>
      </c>
      <c r="D6" s="78" t="s">
        <v>7</v>
      </c>
      <c r="E6" s="78" t="s">
        <v>8</v>
      </c>
    </row>
    <row r="7" spans="1:5" x14ac:dyDescent="0.25">
      <c r="A7" s="69" t="s">
        <v>9</v>
      </c>
      <c r="B7" s="69">
        <v>70</v>
      </c>
      <c r="C7" s="69">
        <v>1</v>
      </c>
      <c r="D7" s="69">
        <v>0.23</v>
      </c>
      <c r="E7" s="69">
        <f>B7*C7*$B$3*(1+D7)</f>
        <v>424.47299999999996</v>
      </c>
    </row>
    <row r="8" spans="1:5" x14ac:dyDescent="0.25">
      <c r="A8" s="69" t="s">
        <v>10</v>
      </c>
      <c r="B8" s="69">
        <v>100</v>
      </c>
      <c r="C8" s="69">
        <v>1.5</v>
      </c>
      <c r="D8" s="69">
        <v>0.3</v>
      </c>
      <c r="E8" s="69">
        <f t="shared" ref="E8:E13" si="0">B8*C8*$B$3*(1+D8)</f>
        <v>961.35</v>
      </c>
    </row>
    <row r="9" spans="1:5" x14ac:dyDescent="0.25">
      <c r="A9" s="69" t="s">
        <v>11</v>
      </c>
      <c r="B9" s="69">
        <v>20</v>
      </c>
      <c r="C9" s="69">
        <v>8.1</v>
      </c>
      <c r="D9" s="69">
        <v>0.4</v>
      </c>
      <c r="E9" s="69">
        <f t="shared" si="0"/>
        <v>1118.1239999999998</v>
      </c>
    </row>
    <row r="10" spans="1:5" x14ac:dyDescent="0.25">
      <c r="A10" s="69" t="s">
        <v>12</v>
      </c>
      <c r="B10" s="69">
        <v>25</v>
      </c>
      <c r="C10" s="69">
        <v>15.6</v>
      </c>
      <c r="D10" s="69">
        <v>0.4</v>
      </c>
      <c r="E10" s="69">
        <f t="shared" si="0"/>
        <v>2691.7799999999997</v>
      </c>
    </row>
    <row r="11" spans="1:5" x14ac:dyDescent="0.25">
      <c r="A11" s="69" t="s">
        <v>13</v>
      </c>
      <c r="B11" s="69">
        <v>20</v>
      </c>
      <c r="C11" s="69">
        <v>0.6</v>
      </c>
      <c r="D11" s="69">
        <v>0.15</v>
      </c>
      <c r="E11" s="69">
        <f t="shared" si="0"/>
        <v>68.033999999999992</v>
      </c>
    </row>
    <row r="12" spans="1:5" x14ac:dyDescent="0.25">
      <c r="A12" s="69" t="s">
        <v>14</v>
      </c>
      <c r="B12" s="69">
        <v>60</v>
      </c>
      <c r="C12" s="69">
        <v>2.5</v>
      </c>
      <c r="D12" s="69">
        <v>0.25</v>
      </c>
      <c r="E12" s="69">
        <f t="shared" si="0"/>
        <v>924.375</v>
      </c>
    </row>
    <row r="13" spans="1:5" x14ac:dyDescent="0.25">
      <c r="A13" s="68" t="s">
        <v>15</v>
      </c>
      <c r="B13" s="68">
        <v>48</v>
      </c>
      <c r="C13" s="68">
        <v>2.2999999999999998</v>
      </c>
      <c r="D13" s="68">
        <v>0.27</v>
      </c>
      <c r="E13" s="68">
        <f t="shared" si="0"/>
        <v>691.22543999999994</v>
      </c>
    </row>
    <row r="14" spans="1:5" x14ac:dyDescent="0.25">
      <c r="A14" s="76"/>
      <c r="B14" s="75"/>
      <c r="C14" s="75"/>
      <c r="D14" s="75"/>
      <c r="E14" s="77"/>
    </row>
    <row r="15" spans="1:5" x14ac:dyDescent="0.25">
      <c r="A15" s="79" t="s">
        <v>16</v>
      </c>
      <c r="B15" s="70">
        <f>SUM(E7:E13)</f>
        <v>6879.3614399999988</v>
      </c>
      <c r="C15" s="70"/>
      <c r="D15" s="70"/>
      <c r="E15" s="71"/>
    </row>
    <row r="16" spans="1:5" x14ac:dyDescent="0.25">
      <c r="A16" s="66"/>
      <c r="B16" s="66"/>
      <c r="C16" s="66"/>
      <c r="D16" s="66"/>
      <c r="E16" s="66"/>
    </row>
    <row r="17" spans="2:2" ht="15" customHeight="1" x14ac:dyDescent="0.25"/>
    <row r="19" spans="2:2" x14ac:dyDescent="0.25">
      <c r="B19" t="s">
        <v>17</v>
      </c>
    </row>
  </sheetData>
  <sheetProtection selectLockedCells="1" selectUnlockedCells="1"/>
  <mergeCells count="1">
    <mergeCell ref="A1:D1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atar_Planilha">
                <anchor moveWithCells="1" sizeWithCells="1">
                  <from>
                    <xdr:col>7</xdr:col>
                    <xdr:colOff>7620</xdr:colOff>
                    <xdr:row>0</xdr:row>
                    <xdr:rowOff>160020</xdr:rowOff>
                  </from>
                  <to>
                    <xdr:col>9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impar_Planilha">
                <anchor moveWithCells="1" sizeWithCells="1">
                  <from>
                    <xdr:col>7</xdr:col>
                    <xdr:colOff>7620</xdr:colOff>
                    <xdr:row>4</xdr:row>
                    <xdr:rowOff>0</xdr:rowOff>
                  </from>
                  <to>
                    <xdr:col>8</xdr:col>
                    <xdr:colOff>617220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I19"/>
  <sheetViews>
    <sheetView workbookViewId="0">
      <selection activeCell="N13" sqref="N13"/>
    </sheetView>
  </sheetViews>
  <sheetFormatPr defaultColWidth="9.109375" defaultRowHeight="14.4" x14ac:dyDescent="0.35"/>
  <cols>
    <col min="1" max="1" width="24" style="1" customWidth="1"/>
    <col min="2" max="2" width="18.88671875" style="1" customWidth="1"/>
    <col min="3" max="3" width="20.21875" style="1" customWidth="1"/>
    <col min="4" max="4" width="14.44140625" style="1" customWidth="1"/>
    <col min="5" max="5" width="17.6640625" style="1" customWidth="1"/>
    <col min="6" max="6" width="12.88671875" style="1" customWidth="1"/>
    <col min="7" max="7" width="12.5546875" style="1" customWidth="1"/>
    <col min="8" max="8" width="18.88671875" style="1" customWidth="1"/>
    <col min="9" max="9" width="14.33203125" style="1" customWidth="1"/>
    <col min="10" max="16384" width="9.109375" style="1"/>
  </cols>
  <sheetData>
    <row r="2" spans="1:9" ht="18" x14ac:dyDescent="0.35">
      <c r="A2" s="83"/>
      <c r="B2" s="83"/>
      <c r="C2" s="83"/>
      <c r="D2" s="83"/>
      <c r="E2" s="83"/>
      <c r="F2" s="83"/>
    </row>
    <row r="3" spans="1:9" ht="18.75" customHeight="1" x14ac:dyDescent="0.35">
      <c r="A3" s="55" t="s">
        <v>102</v>
      </c>
      <c r="B3" s="56" t="s">
        <v>103</v>
      </c>
      <c r="C3" s="57" t="s">
        <v>104</v>
      </c>
      <c r="D3" s="58" t="s">
        <v>105</v>
      </c>
      <c r="E3" s="58" t="s">
        <v>106</v>
      </c>
      <c r="F3" s="58" t="s">
        <v>107</v>
      </c>
      <c r="G3" s="58" t="s">
        <v>108</v>
      </c>
      <c r="H3" s="58" t="s">
        <v>109</v>
      </c>
      <c r="I3" s="59" t="s">
        <v>110</v>
      </c>
    </row>
    <row r="4" spans="1:9" ht="32.4" x14ac:dyDescent="0.35">
      <c r="A4" s="50" t="s">
        <v>18</v>
      </c>
      <c r="B4" s="51" t="s">
        <v>19</v>
      </c>
      <c r="C4" s="52" t="s">
        <v>20</v>
      </c>
      <c r="D4" s="53"/>
      <c r="E4" s="53"/>
      <c r="F4" s="53"/>
      <c r="G4" s="53"/>
      <c r="H4" s="53"/>
      <c r="I4" s="3"/>
    </row>
    <row r="5" spans="1:9" ht="16.2" x14ac:dyDescent="0.35">
      <c r="A5" s="54"/>
      <c r="B5" s="49"/>
      <c r="C5" s="3" t="s">
        <v>21</v>
      </c>
      <c r="D5" s="52" t="s">
        <v>22</v>
      </c>
      <c r="E5" s="53"/>
      <c r="F5" s="3"/>
      <c r="G5" s="52" t="s">
        <v>23</v>
      </c>
      <c r="H5" s="53"/>
      <c r="I5" s="3"/>
    </row>
    <row r="6" spans="1:9" ht="16.2" x14ac:dyDescent="0.35">
      <c r="A6" s="52" t="s">
        <v>24</v>
      </c>
      <c r="B6" s="3"/>
      <c r="C6" s="6"/>
      <c r="D6" s="5" t="s">
        <v>25</v>
      </c>
      <c r="E6" s="7" t="s">
        <v>26</v>
      </c>
      <c r="F6" s="7" t="s">
        <v>27</v>
      </c>
      <c r="G6" s="5" t="s">
        <v>25</v>
      </c>
      <c r="H6" s="7" t="s">
        <v>26</v>
      </c>
      <c r="I6" s="7" t="s">
        <v>27</v>
      </c>
    </row>
    <row r="7" spans="1:9" ht="16.2" x14ac:dyDescent="0.35">
      <c r="A7" s="4" t="s">
        <v>28</v>
      </c>
      <c r="B7" s="8">
        <v>5</v>
      </c>
      <c r="C7" s="9">
        <v>42000</v>
      </c>
      <c r="D7" s="10">
        <v>0.15</v>
      </c>
      <c r="E7" s="11">
        <f>C7*D7</f>
        <v>6300</v>
      </c>
      <c r="F7" s="11">
        <f>C7+E7</f>
        <v>48300</v>
      </c>
      <c r="G7" s="10">
        <v>0.25</v>
      </c>
      <c r="H7" s="11">
        <f>C7*G7</f>
        <v>10500</v>
      </c>
      <c r="I7" s="11">
        <f>C7+H7</f>
        <v>52500</v>
      </c>
    </row>
    <row r="8" spans="1:9" ht="16.2" x14ac:dyDescent="0.35">
      <c r="A8" s="4" t="s">
        <v>29</v>
      </c>
      <c r="B8" s="8">
        <v>7</v>
      </c>
      <c r="C8" s="9">
        <v>40000</v>
      </c>
      <c r="D8" s="10">
        <v>0.15</v>
      </c>
      <c r="E8" s="11">
        <f t="shared" ref="E8:E14" si="0">C8*D8</f>
        <v>6000</v>
      </c>
      <c r="F8" s="11">
        <f t="shared" ref="F8:F14" si="1">C8+E8</f>
        <v>46000</v>
      </c>
      <c r="G8" s="10">
        <v>0.25</v>
      </c>
      <c r="H8" s="11">
        <f t="shared" ref="H8:H14" si="2">C8*G8</f>
        <v>10000</v>
      </c>
      <c r="I8" s="11">
        <f t="shared" ref="I8:I14" si="3">C8+H8</f>
        <v>50000</v>
      </c>
    </row>
    <row r="9" spans="1:9" ht="16.2" x14ac:dyDescent="0.35">
      <c r="A9" s="4" t="s">
        <v>30</v>
      </c>
      <c r="B9" s="8">
        <v>3</v>
      </c>
      <c r="C9" s="9">
        <v>50000</v>
      </c>
      <c r="D9" s="10">
        <v>0.15</v>
      </c>
      <c r="E9" s="11">
        <f t="shared" si="0"/>
        <v>7500</v>
      </c>
      <c r="F9" s="11">
        <f t="shared" si="1"/>
        <v>57500</v>
      </c>
      <c r="G9" s="10">
        <v>0.25</v>
      </c>
      <c r="H9" s="11">
        <f t="shared" si="2"/>
        <v>12500</v>
      </c>
      <c r="I9" s="11">
        <f t="shared" si="3"/>
        <v>62500</v>
      </c>
    </row>
    <row r="10" spans="1:9" ht="16.2" x14ac:dyDescent="0.35">
      <c r="A10" s="4" t="s">
        <v>31</v>
      </c>
      <c r="B10" s="8">
        <v>10</v>
      </c>
      <c r="C10" s="9">
        <v>37000</v>
      </c>
      <c r="D10" s="10">
        <v>0.15</v>
      </c>
      <c r="E10" s="11">
        <f t="shared" si="0"/>
        <v>5550</v>
      </c>
      <c r="F10" s="11">
        <f t="shared" si="1"/>
        <v>42550</v>
      </c>
      <c r="G10" s="10">
        <v>0.25</v>
      </c>
      <c r="H10" s="11">
        <f t="shared" si="2"/>
        <v>9250</v>
      </c>
      <c r="I10" s="11">
        <f t="shared" si="3"/>
        <v>46250</v>
      </c>
    </row>
    <row r="11" spans="1:9" ht="16.2" x14ac:dyDescent="0.35">
      <c r="A11" s="65" t="s">
        <v>1</v>
      </c>
      <c r="B11" s="61"/>
      <c r="C11" s="62"/>
      <c r="D11" s="63"/>
      <c r="E11" s="64"/>
      <c r="F11" s="64"/>
      <c r="G11" s="63"/>
      <c r="H11" s="64"/>
      <c r="I11" s="64"/>
    </row>
    <row r="12" spans="1:9" ht="16.2" x14ac:dyDescent="0.35">
      <c r="A12" s="4" t="s">
        <v>32</v>
      </c>
      <c r="B12" s="8">
        <v>2</v>
      </c>
      <c r="C12" s="9">
        <v>100000</v>
      </c>
      <c r="D12" s="10">
        <v>0.15</v>
      </c>
      <c r="E12" s="11">
        <f t="shared" si="0"/>
        <v>15000</v>
      </c>
      <c r="F12" s="11">
        <f t="shared" si="1"/>
        <v>115000</v>
      </c>
      <c r="G12" s="10">
        <v>0.25</v>
      </c>
      <c r="H12" s="11">
        <f t="shared" si="2"/>
        <v>25000</v>
      </c>
      <c r="I12" s="11">
        <f t="shared" si="3"/>
        <v>125000</v>
      </c>
    </row>
    <row r="13" spans="1:9" ht="16.2" x14ac:dyDescent="0.35">
      <c r="A13" s="4" t="s">
        <v>33</v>
      </c>
      <c r="B13" s="8">
        <v>4</v>
      </c>
      <c r="C13" s="9">
        <v>90000</v>
      </c>
      <c r="D13" s="10">
        <v>0.15</v>
      </c>
      <c r="E13" s="11">
        <f t="shared" si="0"/>
        <v>13500</v>
      </c>
      <c r="F13" s="11">
        <f t="shared" si="1"/>
        <v>103500</v>
      </c>
      <c r="G13" s="10">
        <v>0.25</v>
      </c>
      <c r="H13" s="11">
        <f t="shared" si="2"/>
        <v>22500</v>
      </c>
      <c r="I13" s="11">
        <f t="shared" si="3"/>
        <v>112500</v>
      </c>
    </row>
    <row r="14" spans="1:9" ht="16.2" x14ac:dyDescent="0.35">
      <c r="A14" s="4" t="s">
        <v>34</v>
      </c>
      <c r="B14" s="8">
        <v>3</v>
      </c>
      <c r="C14" s="9">
        <v>75000</v>
      </c>
      <c r="D14" s="10">
        <v>0.15</v>
      </c>
      <c r="E14" s="11">
        <f t="shared" si="0"/>
        <v>11250</v>
      </c>
      <c r="F14" s="11">
        <f t="shared" si="1"/>
        <v>86250</v>
      </c>
      <c r="G14" s="10">
        <v>0.25</v>
      </c>
      <c r="H14" s="11">
        <f t="shared" si="2"/>
        <v>18750</v>
      </c>
      <c r="I14" s="11">
        <f t="shared" si="3"/>
        <v>93750</v>
      </c>
    </row>
    <row r="16" spans="1:9" ht="16.2" x14ac:dyDescent="0.35">
      <c r="A16" s="60" t="s">
        <v>35</v>
      </c>
      <c r="B16" s="53"/>
      <c r="C16" s="3"/>
      <c r="D16" s="4">
        <f>SUM(B7:B14)</f>
        <v>34</v>
      </c>
    </row>
    <row r="18" spans="1:6" x14ac:dyDescent="0.35">
      <c r="A18" s="12" t="s">
        <v>36</v>
      </c>
      <c r="B18" s="12"/>
      <c r="C18" s="12"/>
      <c r="D18" s="12"/>
      <c r="E18" s="12"/>
      <c r="F18" s="12"/>
    </row>
    <row r="19" spans="1:6" x14ac:dyDescent="0.35">
      <c r="A19" s="12" t="s">
        <v>37</v>
      </c>
      <c r="B19" s="12"/>
      <c r="C19" s="12"/>
      <c r="D19" s="12"/>
      <c r="E19" s="12"/>
      <c r="F19" s="12"/>
    </row>
  </sheetData>
  <sheetProtection selectLockedCells="1" selectUnlockedCells="1"/>
  <mergeCells count="1">
    <mergeCell ref="A2:F2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J18"/>
  <sheetViews>
    <sheetView workbookViewId="0">
      <selection activeCell="I20" sqref="I20"/>
    </sheetView>
  </sheetViews>
  <sheetFormatPr defaultColWidth="9.109375" defaultRowHeight="14.4" x14ac:dyDescent="0.35"/>
  <cols>
    <col min="1" max="1" width="18.109375" style="1" customWidth="1"/>
    <col min="2" max="2" width="14.33203125" style="1" customWidth="1"/>
    <col min="3" max="3" width="3.109375" style="1" customWidth="1"/>
    <col min="4" max="4" width="16" style="1" customWidth="1"/>
    <col min="5" max="5" width="14.88671875" style="1" customWidth="1"/>
    <col min="6" max="6" width="15" style="1" customWidth="1"/>
    <col min="7" max="7" width="4.109375" style="1" customWidth="1"/>
    <col min="8" max="8" width="9.109375" style="1"/>
    <col min="9" max="9" width="13.6640625" style="1" customWidth="1"/>
    <col min="10" max="10" width="10.88671875" style="1" customWidth="1"/>
    <col min="11" max="16384" width="9.109375" style="1"/>
  </cols>
  <sheetData>
    <row r="2" spans="1:10" x14ac:dyDescent="0.35">
      <c r="A2" s="84" t="s">
        <v>38</v>
      </c>
      <c r="B2" s="84"/>
      <c r="C2" s="84"/>
      <c r="D2" s="84"/>
      <c r="E2" s="84"/>
      <c r="F2" s="84"/>
      <c r="G2" s="84"/>
      <c r="H2" s="84"/>
      <c r="I2" s="84"/>
      <c r="J2" s="84"/>
    </row>
    <row r="4" spans="1:10" x14ac:dyDescent="0.35">
      <c r="A4" s="13" t="s">
        <v>39</v>
      </c>
      <c r="B4" s="13" t="s">
        <v>40</v>
      </c>
      <c r="D4" s="14" t="s">
        <v>4</v>
      </c>
      <c r="E4" s="13" t="s">
        <v>41</v>
      </c>
      <c r="F4" s="13" t="s">
        <v>42</v>
      </c>
      <c r="H4" s="84" t="s">
        <v>43</v>
      </c>
      <c r="I4" s="84"/>
      <c r="J4" s="84"/>
    </row>
    <row r="5" spans="1:10" x14ac:dyDescent="0.35">
      <c r="A5" s="15">
        <v>42401</v>
      </c>
      <c r="B5" s="16">
        <v>3.89</v>
      </c>
      <c r="D5" s="17" t="s">
        <v>44</v>
      </c>
      <c r="E5" s="18">
        <v>5</v>
      </c>
      <c r="F5" s="19">
        <f>$J$6*E5:E14</f>
        <v>20.09</v>
      </c>
    </row>
    <row r="6" spans="1:10" x14ac:dyDescent="0.35">
      <c r="A6" s="15">
        <v>42402</v>
      </c>
      <c r="B6" s="16">
        <v>3.91</v>
      </c>
      <c r="D6" s="17" t="s">
        <v>45</v>
      </c>
      <c r="E6" s="18">
        <v>8</v>
      </c>
      <c r="F6" s="19">
        <f t="shared" ref="F6:F14" si="0">$J$6*E6:E15</f>
        <v>32.143999999999998</v>
      </c>
      <c r="H6" s="85" t="s">
        <v>46</v>
      </c>
      <c r="I6" s="85"/>
      <c r="J6" s="2">
        <f>AVERAGE(B5:B14)</f>
        <v>4.0179999999999998</v>
      </c>
    </row>
    <row r="7" spans="1:10" x14ac:dyDescent="0.35">
      <c r="A7" s="15">
        <v>42403</v>
      </c>
      <c r="B7" s="16">
        <v>4.0999999999999996</v>
      </c>
      <c r="D7" s="17" t="s">
        <v>47</v>
      </c>
      <c r="E7" s="18">
        <v>15</v>
      </c>
      <c r="F7" s="19">
        <f t="shared" si="0"/>
        <v>60.269999999999996</v>
      </c>
      <c r="J7" s="21"/>
    </row>
    <row r="8" spans="1:10" x14ac:dyDescent="0.35">
      <c r="A8" s="15">
        <v>42404</v>
      </c>
      <c r="B8" s="16">
        <v>4.1500000000000004</v>
      </c>
      <c r="D8" s="17" t="s">
        <v>48</v>
      </c>
      <c r="E8" s="18">
        <v>3</v>
      </c>
      <c r="F8" s="19">
        <f t="shared" si="0"/>
        <v>12.053999999999998</v>
      </c>
      <c r="H8" s="85" t="s">
        <v>49</v>
      </c>
      <c r="I8" s="85"/>
      <c r="J8" s="2">
        <f>MAX(B5:B14)</f>
        <v>4.2</v>
      </c>
    </row>
    <row r="9" spans="1:10" x14ac:dyDescent="0.35">
      <c r="A9" s="15">
        <v>42405</v>
      </c>
      <c r="B9" s="16">
        <v>4.2</v>
      </c>
      <c r="D9" s="17" t="s">
        <v>50</v>
      </c>
      <c r="E9" s="18">
        <v>65</v>
      </c>
      <c r="F9" s="19">
        <f t="shared" si="0"/>
        <v>261.16999999999996</v>
      </c>
      <c r="J9" s="21"/>
    </row>
    <row r="10" spans="1:10" x14ac:dyDescent="0.35">
      <c r="A10" s="15">
        <v>42406</v>
      </c>
      <c r="B10" s="16">
        <v>4.05</v>
      </c>
      <c r="D10" s="17" t="s">
        <v>51</v>
      </c>
      <c r="E10" s="18">
        <v>100</v>
      </c>
      <c r="F10" s="19">
        <f t="shared" si="0"/>
        <v>401.79999999999995</v>
      </c>
      <c r="H10" s="85" t="s">
        <v>52</v>
      </c>
      <c r="I10" s="85"/>
      <c r="J10" s="2">
        <f>MIN(B5:B14)</f>
        <v>3.89</v>
      </c>
    </row>
    <row r="11" spans="1:10" x14ac:dyDescent="0.35">
      <c r="A11" s="15">
        <v>42407</v>
      </c>
      <c r="B11" s="16">
        <v>4</v>
      </c>
      <c r="D11" s="17" t="s">
        <v>53</v>
      </c>
      <c r="E11" s="18">
        <v>120</v>
      </c>
      <c r="F11" s="19">
        <f t="shared" si="0"/>
        <v>482.15999999999997</v>
      </c>
    </row>
    <row r="12" spans="1:10" x14ac:dyDescent="0.35">
      <c r="A12" s="15">
        <v>42408</v>
      </c>
      <c r="B12" s="16">
        <v>3.95</v>
      </c>
      <c r="D12" s="17" t="s">
        <v>54</v>
      </c>
      <c r="E12" s="18">
        <v>45</v>
      </c>
      <c r="F12" s="19">
        <f t="shared" si="0"/>
        <v>180.81</v>
      </c>
    </row>
    <row r="13" spans="1:10" x14ac:dyDescent="0.35">
      <c r="A13" s="15">
        <v>42409</v>
      </c>
      <c r="B13" s="16">
        <v>3.96</v>
      </c>
      <c r="D13" s="17" t="s">
        <v>55</v>
      </c>
      <c r="E13" s="18">
        <v>48</v>
      </c>
      <c r="F13" s="19">
        <f t="shared" si="0"/>
        <v>192.86399999999998</v>
      </c>
    </row>
    <row r="14" spans="1:10" x14ac:dyDescent="0.35">
      <c r="A14" s="15">
        <v>42410</v>
      </c>
      <c r="B14" s="16">
        <v>3.97</v>
      </c>
      <c r="D14" s="17" t="s">
        <v>56</v>
      </c>
      <c r="E14" s="18">
        <v>95</v>
      </c>
      <c r="F14" s="19">
        <f t="shared" si="0"/>
        <v>381.71</v>
      </c>
    </row>
    <row r="16" spans="1:10" x14ac:dyDescent="0.35">
      <c r="A16" s="15" t="s">
        <v>57</v>
      </c>
      <c r="B16" s="22">
        <v>4.9400000000000004</v>
      </c>
    </row>
    <row r="18" spans="1:6" x14ac:dyDescent="0.35">
      <c r="A18" s="23" t="s">
        <v>58</v>
      </c>
      <c r="B18" s="24"/>
      <c r="C18" s="24"/>
      <c r="D18" s="24"/>
      <c r="E18" s="24"/>
      <c r="F18" s="25"/>
    </row>
  </sheetData>
  <sheetProtection selectLockedCells="1" selectUnlockedCells="1"/>
  <mergeCells count="5">
    <mergeCell ref="A2:J2"/>
    <mergeCell ref="H4:J4"/>
    <mergeCell ref="H6:I6"/>
    <mergeCell ref="H8:I8"/>
    <mergeCell ref="H10:I10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I15"/>
  <sheetViews>
    <sheetView workbookViewId="0">
      <selection activeCell="E20" sqref="E20"/>
    </sheetView>
  </sheetViews>
  <sheetFormatPr defaultColWidth="9.109375" defaultRowHeight="14.4" x14ac:dyDescent="0.35"/>
  <cols>
    <col min="1" max="1" width="26" style="1" customWidth="1"/>
    <col min="2" max="2" width="10.88671875" style="1" customWidth="1"/>
    <col min="3" max="3" width="12.5546875" style="1" customWidth="1"/>
    <col min="4" max="5" width="10.88671875" style="1" customWidth="1"/>
    <col min="6" max="7" width="10.5546875" style="1" customWidth="1"/>
    <col min="8" max="8" width="16.88671875" style="1" customWidth="1"/>
    <col min="9" max="9" width="19.44140625" style="1" customWidth="1"/>
    <col min="10" max="16384" width="9.109375" style="1"/>
  </cols>
  <sheetData>
    <row r="2" spans="1:9" x14ac:dyDescent="0.35">
      <c r="A2" s="84" t="s">
        <v>59</v>
      </c>
      <c r="B2" s="84"/>
      <c r="C2" s="84"/>
      <c r="D2" s="84"/>
      <c r="E2" s="84"/>
      <c r="F2" s="84"/>
      <c r="G2" s="84"/>
      <c r="H2" s="84"/>
      <c r="I2" s="84"/>
    </row>
    <row r="4" spans="1:9" ht="28.8" x14ac:dyDescent="0.35">
      <c r="A4" s="26" t="s">
        <v>60</v>
      </c>
      <c r="B4" s="27">
        <v>37987</v>
      </c>
      <c r="C4" s="27">
        <v>38018</v>
      </c>
      <c r="D4" s="27">
        <v>38047</v>
      </c>
      <c r="E4" s="27">
        <v>38078</v>
      </c>
      <c r="F4" s="27">
        <v>38108</v>
      </c>
      <c r="G4" s="27">
        <v>38139</v>
      </c>
      <c r="H4" s="26" t="s">
        <v>61</v>
      </c>
      <c r="I4" s="26" t="s">
        <v>62</v>
      </c>
    </row>
    <row r="5" spans="1:9" x14ac:dyDescent="0.35">
      <c r="A5" s="28" t="s">
        <v>63</v>
      </c>
      <c r="B5" s="16">
        <v>20</v>
      </c>
      <c r="C5" s="16">
        <v>35</v>
      </c>
      <c r="D5" s="16">
        <v>25</v>
      </c>
      <c r="E5" s="16">
        <v>40</v>
      </c>
      <c r="F5" s="16">
        <v>42</v>
      </c>
      <c r="G5" s="16">
        <v>36</v>
      </c>
      <c r="H5" s="29">
        <f>SUM(B5:G5)</f>
        <v>198</v>
      </c>
      <c r="I5" s="29">
        <f>AVERAGE(B5:G5)</f>
        <v>33</v>
      </c>
    </row>
    <row r="6" spans="1:9" x14ac:dyDescent="0.35">
      <c r="A6" s="28" t="s">
        <v>64</v>
      </c>
      <c r="B6" s="16">
        <v>95</v>
      </c>
      <c r="C6" s="16">
        <v>100</v>
      </c>
      <c r="D6" s="16">
        <v>90</v>
      </c>
      <c r="E6" s="16">
        <v>100</v>
      </c>
      <c r="F6" s="16">
        <v>75</v>
      </c>
      <c r="G6" s="16">
        <v>84</v>
      </c>
      <c r="H6" s="29">
        <f t="shared" ref="H6:H9" si="0">SUM(B6:G6)</f>
        <v>544</v>
      </c>
      <c r="I6" s="29">
        <f t="shared" ref="I6:I9" si="1">AVERAGE(B6:G6)</f>
        <v>90.666666666666671</v>
      </c>
    </row>
    <row r="7" spans="1:9" x14ac:dyDescent="0.35">
      <c r="A7" s="28" t="s">
        <v>65</v>
      </c>
      <c r="B7" s="16">
        <v>30</v>
      </c>
      <c r="C7" s="16">
        <v>45</v>
      </c>
      <c r="D7" s="16">
        <v>50</v>
      </c>
      <c r="E7" s="16">
        <v>90</v>
      </c>
      <c r="F7" s="16">
        <v>72</v>
      </c>
      <c r="G7" s="16">
        <v>65</v>
      </c>
      <c r="H7" s="29">
        <f t="shared" si="0"/>
        <v>352</v>
      </c>
      <c r="I7" s="29">
        <f t="shared" si="1"/>
        <v>58.666666666666664</v>
      </c>
    </row>
    <row r="8" spans="1:9" x14ac:dyDescent="0.35">
      <c r="A8" s="28" t="s">
        <v>66</v>
      </c>
      <c r="B8" s="16">
        <v>150</v>
      </c>
      <c r="C8" s="16">
        <v>150</v>
      </c>
      <c r="D8" s="16">
        <v>150</v>
      </c>
      <c r="E8" s="16">
        <v>200</v>
      </c>
      <c r="F8" s="16">
        <v>200</v>
      </c>
      <c r="G8" s="16">
        <v>200</v>
      </c>
      <c r="H8" s="29">
        <f t="shared" si="0"/>
        <v>1050</v>
      </c>
      <c r="I8" s="29">
        <f t="shared" si="1"/>
        <v>175</v>
      </c>
    </row>
    <row r="9" spans="1:9" x14ac:dyDescent="0.35">
      <c r="A9" s="28" t="s">
        <v>67</v>
      </c>
      <c r="B9" s="16">
        <v>200</v>
      </c>
      <c r="C9" s="16">
        <v>230</v>
      </c>
      <c r="D9" s="16">
        <v>215</v>
      </c>
      <c r="E9" s="16">
        <v>190</v>
      </c>
      <c r="F9" s="16">
        <v>150</v>
      </c>
      <c r="G9" s="16">
        <v>210</v>
      </c>
      <c r="H9" s="29">
        <f t="shared" si="0"/>
        <v>1195</v>
      </c>
      <c r="I9" s="29">
        <f t="shared" si="1"/>
        <v>199.16666666666666</v>
      </c>
    </row>
    <row r="10" spans="1:9" x14ac:dyDescent="0.35">
      <c r="A10" s="30" t="s">
        <v>68</v>
      </c>
      <c r="B10" s="29">
        <f>SUM(B5:B9)</f>
        <v>495</v>
      </c>
      <c r="C10" s="29">
        <f t="shared" ref="C10:G10" si="2">SUM(C5:C9)</f>
        <v>560</v>
      </c>
      <c r="D10" s="29">
        <f t="shared" si="2"/>
        <v>530</v>
      </c>
      <c r="E10" s="29">
        <f t="shared" si="2"/>
        <v>620</v>
      </c>
      <c r="F10" s="29">
        <f t="shared" si="2"/>
        <v>539</v>
      </c>
      <c r="G10" s="29">
        <f t="shared" si="2"/>
        <v>595</v>
      </c>
    </row>
    <row r="12" spans="1:9" ht="12.75" customHeight="1" x14ac:dyDescent="0.35">
      <c r="C12" s="31"/>
    </row>
    <row r="13" spans="1:9" ht="12.75" customHeight="1" x14ac:dyDescent="0.35">
      <c r="A13" s="86" t="s">
        <v>69</v>
      </c>
      <c r="B13" s="86"/>
      <c r="C13" s="29">
        <f>MAX(H5:H9)</f>
        <v>1195</v>
      </c>
    </row>
    <row r="14" spans="1:9" x14ac:dyDescent="0.35">
      <c r="A14" s="86" t="s">
        <v>70</v>
      </c>
      <c r="B14" s="86"/>
      <c r="C14" s="29">
        <f>MIN(H5:H9)</f>
        <v>198</v>
      </c>
    </row>
    <row r="15" spans="1:9" x14ac:dyDescent="0.35">
      <c r="A15" s="86" t="s">
        <v>71</v>
      </c>
      <c r="B15" s="86"/>
      <c r="C15" s="29">
        <f>AVERAGE(H5:H9)</f>
        <v>667.8</v>
      </c>
    </row>
  </sheetData>
  <sheetProtection selectLockedCells="1" selectUnlockedCells="1"/>
  <mergeCells count="4">
    <mergeCell ref="A2:I2"/>
    <mergeCell ref="A13:B13"/>
    <mergeCell ref="A14:B14"/>
    <mergeCell ref="A15:B15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2:E11"/>
  <sheetViews>
    <sheetView workbookViewId="0">
      <selection activeCell="G17" sqref="G17"/>
    </sheetView>
  </sheetViews>
  <sheetFormatPr defaultColWidth="9.109375" defaultRowHeight="14.4" x14ac:dyDescent="0.35"/>
  <cols>
    <col min="1" max="1" width="14.5546875" style="1" customWidth="1"/>
    <col min="2" max="2" width="11.33203125" style="1" customWidth="1"/>
    <col min="3" max="3" width="14.109375" style="1" customWidth="1"/>
    <col min="4" max="6" width="11.6640625" style="1" customWidth="1"/>
    <col min="7" max="7" width="12.44140625" style="1" customWidth="1"/>
    <col min="8" max="16384" width="9.109375" style="1"/>
  </cols>
  <sheetData>
    <row r="2" spans="1:5" x14ac:dyDescent="0.35">
      <c r="B2" s="87" t="s">
        <v>72</v>
      </c>
      <c r="C2" s="87"/>
      <c r="D2" s="87"/>
      <c r="E2" s="87"/>
    </row>
    <row r="3" spans="1:5" x14ac:dyDescent="0.35">
      <c r="A3" s="32" t="s">
        <v>73</v>
      </c>
      <c r="B3" s="32" t="s">
        <v>74</v>
      </c>
      <c r="C3" s="32" t="s">
        <v>75</v>
      </c>
      <c r="D3" s="32" t="s">
        <v>76</v>
      </c>
      <c r="E3" s="32" t="s">
        <v>77</v>
      </c>
    </row>
    <row r="4" spans="1:5" x14ac:dyDescent="0.35">
      <c r="A4" s="33" t="s">
        <v>78</v>
      </c>
      <c r="B4" s="2">
        <v>30</v>
      </c>
      <c r="C4" s="2">
        <v>35</v>
      </c>
      <c r="D4" s="2">
        <v>28</v>
      </c>
      <c r="E4" s="2">
        <v>32</v>
      </c>
    </row>
    <row r="5" spans="1:5" x14ac:dyDescent="0.35">
      <c r="A5" s="20" t="s">
        <v>79</v>
      </c>
      <c r="B5" s="2">
        <v>2</v>
      </c>
      <c r="C5" s="2">
        <v>1.5</v>
      </c>
      <c r="D5" s="2">
        <v>2.2000000000000002</v>
      </c>
      <c r="E5" s="2">
        <v>3</v>
      </c>
    </row>
    <row r="6" spans="1:5" x14ac:dyDescent="0.35">
      <c r="A6" s="33" t="s">
        <v>80</v>
      </c>
      <c r="B6" s="2">
        <v>10</v>
      </c>
      <c r="C6" s="2">
        <v>11</v>
      </c>
      <c r="D6" s="2">
        <v>8</v>
      </c>
      <c r="E6" s="2">
        <v>12</v>
      </c>
    </row>
    <row r="7" spans="1:5" x14ac:dyDescent="0.35">
      <c r="A7" s="33" t="s">
        <v>81</v>
      </c>
      <c r="B7" s="2">
        <v>45</v>
      </c>
      <c r="C7" s="2">
        <v>50</v>
      </c>
      <c r="D7" s="2">
        <v>50</v>
      </c>
      <c r="E7" s="2">
        <v>62</v>
      </c>
    </row>
    <row r="9" spans="1:5" x14ac:dyDescent="0.35">
      <c r="B9" s="34" t="s">
        <v>78</v>
      </c>
      <c r="C9" s="34" t="s">
        <v>79</v>
      </c>
      <c r="D9" s="34" t="s">
        <v>80</v>
      </c>
      <c r="E9" s="34" t="s">
        <v>81</v>
      </c>
    </row>
    <row r="10" spans="1:5" x14ac:dyDescent="0.35">
      <c r="A10" s="35" t="s">
        <v>82</v>
      </c>
      <c r="B10" s="36">
        <f>MIN(B4:E4)</f>
        <v>28</v>
      </c>
      <c r="C10" s="36">
        <f>MIN(B5:E5)</f>
        <v>1.5</v>
      </c>
      <c r="D10" s="36">
        <f>MIN(B6:E6)</f>
        <v>8</v>
      </c>
      <c r="E10" s="36">
        <f>MIN(B7:E7)</f>
        <v>45</v>
      </c>
    </row>
    <row r="11" spans="1:5" x14ac:dyDescent="0.35">
      <c r="A11" s="35" t="s">
        <v>83</v>
      </c>
      <c r="B11" s="36" t="str">
        <f>IF($B$4=B10,B3,IF($B$10=C4,C3,IF($B$10=D4,D3,IF($B$10=E4,E3))))</f>
        <v>Loja3</v>
      </c>
      <c r="C11" s="36" t="str">
        <f>IF(C10=B5,B3,IF(C10=C5,C3,IF(C10=D5,D3,IF(C10=E5,E3))))</f>
        <v>Loja2</v>
      </c>
      <c r="D11" s="36" t="str">
        <f>IF(D10=B6,B3,IF(D10=C6,C3,IF(D10=D6,D3,IF(D10=E6,E3))))</f>
        <v>Loja3</v>
      </c>
      <c r="E11" s="36" t="str">
        <f>IF(E10=B7,B3,IF(E10=C7,C3,IF(E10=D7,D3,IF(E10=E7,E3))))</f>
        <v>Loja1</v>
      </c>
    </row>
  </sheetData>
  <sheetProtection selectLockedCells="1" selectUnlockedCells="1"/>
  <mergeCells count="1">
    <mergeCell ref="B2:E2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H17"/>
  <sheetViews>
    <sheetView workbookViewId="0">
      <selection activeCell="E18" sqref="E18"/>
    </sheetView>
  </sheetViews>
  <sheetFormatPr defaultColWidth="9.109375" defaultRowHeight="14.4" x14ac:dyDescent="0.35"/>
  <cols>
    <col min="1" max="1" width="16.5546875" style="1" customWidth="1"/>
    <col min="2" max="2" width="13.6640625" style="1" customWidth="1"/>
    <col min="3" max="3" width="16.88671875" style="1" customWidth="1"/>
    <col min="4" max="4" width="14.109375" style="1" customWidth="1"/>
    <col min="5" max="5" width="13" style="1" customWidth="1"/>
    <col min="6" max="6" width="13.109375" style="1" customWidth="1"/>
    <col min="7" max="7" width="9.109375" style="1"/>
    <col min="8" max="8" width="10.88671875" style="1" customWidth="1"/>
    <col min="9" max="16384" width="9.109375" style="1"/>
  </cols>
  <sheetData>
    <row r="1" spans="1:8" ht="18" x14ac:dyDescent="0.35">
      <c r="A1" s="89" t="s">
        <v>84</v>
      </c>
      <c r="B1" s="89"/>
      <c r="C1" s="89"/>
      <c r="D1" s="89"/>
      <c r="E1" s="89"/>
      <c r="F1" s="89"/>
    </row>
    <row r="2" spans="1:8" ht="16.2" x14ac:dyDescent="0.35">
      <c r="A2" s="37" t="s">
        <v>85</v>
      </c>
      <c r="B2" s="38">
        <v>0.11</v>
      </c>
    </row>
    <row r="4" spans="1:8" x14ac:dyDescent="0.35">
      <c r="C4" s="90" t="s">
        <v>86</v>
      </c>
      <c r="D4" s="90"/>
      <c r="E4" s="90"/>
    </row>
    <row r="5" spans="1:8" x14ac:dyDescent="0.35">
      <c r="A5" s="39" t="s">
        <v>87</v>
      </c>
      <c r="B5" s="40" t="s">
        <v>88</v>
      </c>
      <c r="C5" s="41" t="s">
        <v>89</v>
      </c>
      <c r="D5" s="41" t="s">
        <v>90</v>
      </c>
      <c r="E5" s="41" t="s">
        <v>91</v>
      </c>
      <c r="F5" s="42" t="s">
        <v>92</v>
      </c>
    </row>
    <row r="6" spans="1:8" x14ac:dyDescent="0.35">
      <c r="A6" s="43" t="s">
        <v>93</v>
      </c>
      <c r="B6" s="44">
        <v>1000</v>
      </c>
      <c r="C6" s="45">
        <f>$B$2*B6</f>
        <v>110</v>
      </c>
      <c r="D6" s="46">
        <v>38</v>
      </c>
      <c r="E6" s="46">
        <v>0</v>
      </c>
      <c r="F6" s="45">
        <f>B6-C6-D6-E6</f>
        <v>852</v>
      </c>
    </row>
    <row r="7" spans="1:8" x14ac:dyDescent="0.35">
      <c r="A7" s="43" t="s">
        <v>94</v>
      </c>
      <c r="B7" s="44">
        <v>2500</v>
      </c>
      <c r="C7" s="45">
        <f t="shared" ref="C7:C10" si="0">$B$2*B7</f>
        <v>275</v>
      </c>
      <c r="D7" s="44">
        <v>50</v>
      </c>
      <c r="E7" s="44">
        <v>100</v>
      </c>
      <c r="F7" s="45">
        <f t="shared" ref="F7:F10" si="1">B7-C7-D7-E7</f>
        <v>2075</v>
      </c>
    </row>
    <row r="8" spans="1:8" x14ac:dyDescent="0.35">
      <c r="A8" s="43" t="s">
        <v>95</v>
      </c>
      <c r="B8" s="44">
        <v>1400</v>
      </c>
      <c r="C8" s="45">
        <f t="shared" si="0"/>
        <v>154</v>
      </c>
      <c r="D8" s="44">
        <v>42</v>
      </c>
      <c r="E8" s="44">
        <v>130</v>
      </c>
      <c r="F8" s="45">
        <f t="shared" si="1"/>
        <v>1074</v>
      </c>
    </row>
    <row r="9" spans="1:8" x14ac:dyDescent="0.35">
      <c r="A9" s="43" t="s">
        <v>96</v>
      </c>
      <c r="B9" s="44">
        <v>1500</v>
      </c>
      <c r="C9" s="45">
        <f t="shared" si="0"/>
        <v>165</v>
      </c>
      <c r="D9" s="44">
        <v>43</v>
      </c>
      <c r="E9" s="44">
        <v>0</v>
      </c>
      <c r="F9" s="45">
        <f t="shared" si="1"/>
        <v>1292</v>
      </c>
    </row>
    <row r="10" spans="1:8" x14ac:dyDescent="0.35">
      <c r="A10" s="43" t="s">
        <v>97</v>
      </c>
      <c r="B10" s="44">
        <v>3000</v>
      </c>
      <c r="C10" s="45">
        <f t="shared" si="0"/>
        <v>330</v>
      </c>
      <c r="D10" s="44">
        <v>70</v>
      </c>
      <c r="E10" s="44">
        <v>200</v>
      </c>
      <c r="F10" s="45">
        <f t="shared" si="1"/>
        <v>2400</v>
      </c>
    </row>
    <row r="13" spans="1:8" x14ac:dyDescent="0.35">
      <c r="A13" s="91" t="s">
        <v>98</v>
      </c>
      <c r="B13" s="91"/>
      <c r="C13" s="91"/>
      <c r="D13" s="91"/>
      <c r="E13" s="91"/>
      <c r="F13" s="91"/>
      <c r="H13" s="47"/>
    </row>
    <row r="15" spans="1:8" x14ac:dyDescent="0.35">
      <c r="C15" s="88" t="s">
        <v>99</v>
      </c>
      <c r="D15" s="88"/>
      <c r="E15" s="48">
        <f>MAX(F6:F10)</f>
        <v>2400</v>
      </c>
    </row>
    <row r="16" spans="1:8" x14ac:dyDescent="0.35">
      <c r="C16" s="88" t="s">
        <v>100</v>
      </c>
      <c r="D16" s="88"/>
      <c r="E16" s="48">
        <f>MIN(F6:F10)</f>
        <v>852</v>
      </c>
    </row>
    <row r="17" spans="3:5" x14ac:dyDescent="0.35">
      <c r="C17" s="88" t="s">
        <v>101</v>
      </c>
      <c r="D17" s="88"/>
      <c r="E17" s="48">
        <f>AVERAGE(B6:B10)</f>
        <v>1880</v>
      </c>
    </row>
  </sheetData>
  <sheetProtection selectLockedCells="1" selectUnlockedCells="1"/>
  <mergeCells count="6">
    <mergeCell ref="C17:D17"/>
    <mergeCell ref="A1:F1"/>
    <mergeCell ref="C4:E4"/>
    <mergeCell ref="A13:F13"/>
    <mergeCell ref="C15:D15"/>
    <mergeCell ref="C16:D16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B329B-46C8-4E63-B14F-C68077E3E2A5}">
  <sheetPr codeName="Planilha7"/>
  <dimension ref="A1:E20"/>
  <sheetViews>
    <sheetView workbookViewId="0">
      <selection activeCell="E3" sqref="E3"/>
    </sheetView>
  </sheetViews>
  <sheetFormatPr defaultRowHeight="13.2" x14ac:dyDescent="0.25"/>
  <cols>
    <col min="2" max="2" width="11.88671875" customWidth="1"/>
    <col min="3" max="3" width="16.6640625" customWidth="1"/>
    <col min="4" max="4" width="14.5546875" customWidth="1"/>
    <col min="5" max="5" width="16.33203125" customWidth="1"/>
  </cols>
  <sheetData>
    <row r="1" spans="1:5" x14ac:dyDescent="0.25">
      <c r="B1">
        <v>4</v>
      </c>
      <c r="C1">
        <v>2</v>
      </c>
    </row>
    <row r="2" spans="1:5" x14ac:dyDescent="0.25">
      <c r="A2" s="92" t="s">
        <v>125</v>
      </c>
      <c r="B2" s="92" t="s">
        <v>111</v>
      </c>
      <c r="C2" s="92" t="s">
        <v>116</v>
      </c>
      <c r="E2" s="92" t="s">
        <v>126</v>
      </c>
    </row>
    <row r="3" spans="1:5" x14ac:dyDescent="0.25">
      <c r="A3" s="66">
        <v>1</v>
      </c>
      <c r="B3" s="92" t="s">
        <v>112</v>
      </c>
      <c r="C3" s="92" t="s">
        <v>118</v>
      </c>
    </row>
    <row r="4" spans="1:5" x14ac:dyDescent="0.25">
      <c r="A4" s="66">
        <v>2</v>
      </c>
      <c r="B4" s="92" t="s">
        <v>113</v>
      </c>
      <c r="C4" s="92" t="s">
        <v>117</v>
      </c>
    </row>
    <row r="5" spans="1:5" x14ac:dyDescent="0.25">
      <c r="A5" s="66">
        <v>3</v>
      </c>
      <c r="B5" s="92" t="s">
        <v>114</v>
      </c>
      <c r="C5" s="92" t="s">
        <v>119</v>
      </c>
    </row>
    <row r="6" spans="1:5" x14ac:dyDescent="0.25">
      <c r="A6" s="66">
        <v>4</v>
      </c>
      <c r="B6" s="92" t="s">
        <v>115</v>
      </c>
      <c r="C6" s="92" t="s">
        <v>120</v>
      </c>
    </row>
    <row r="7" spans="1:5" x14ac:dyDescent="0.25">
      <c r="A7" s="66"/>
      <c r="B7" s="92"/>
      <c r="C7" s="92" t="s">
        <v>121</v>
      </c>
    </row>
    <row r="8" spans="1:5" x14ac:dyDescent="0.25">
      <c r="A8" s="66"/>
      <c r="B8" s="92"/>
      <c r="C8" s="92" t="s">
        <v>122</v>
      </c>
    </row>
    <row r="9" spans="1:5" x14ac:dyDescent="0.25">
      <c r="A9" s="66"/>
      <c r="B9" s="92"/>
      <c r="C9" s="92" t="s">
        <v>123</v>
      </c>
    </row>
    <row r="10" spans="1:5" x14ac:dyDescent="0.25">
      <c r="A10" s="66"/>
      <c r="B10" s="92"/>
      <c r="C10" s="92" t="s">
        <v>124</v>
      </c>
    </row>
    <row r="11" spans="1:5" x14ac:dyDescent="0.25">
      <c r="B11" s="81"/>
    </row>
    <row r="12" spans="1:5" x14ac:dyDescent="0.25">
      <c r="A12" s="81"/>
    </row>
    <row r="13" spans="1:5" x14ac:dyDescent="0.25">
      <c r="A13" s="81"/>
    </row>
    <row r="14" spans="1:5" x14ac:dyDescent="0.25">
      <c r="A14" s="81"/>
    </row>
    <row r="15" spans="1:5" x14ac:dyDescent="0.25">
      <c r="A15" s="81"/>
    </row>
    <row r="16" spans="1:5" x14ac:dyDescent="0.25">
      <c r="A16" s="81"/>
    </row>
    <row r="17" spans="1:1" x14ac:dyDescent="0.25">
      <c r="A17" s="81"/>
    </row>
    <row r="18" spans="1:1" x14ac:dyDescent="0.25">
      <c r="A18" s="81"/>
    </row>
    <row r="19" spans="1:1" x14ac:dyDescent="0.25">
      <c r="A19" s="81"/>
    </row>
    <row r="20" spans="1:1" x14ac:dyDescent="0.25">
      <c r="A20" s="8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4DE41-4CE2-44F7-BF1F-A8578660574D}">
  <sheetPr codeName="Planilha8"/>
  <dimension ref="A1"/>
  <sheetViews>
    <sheetView showGridLines="0" tabSelected="1" workbookViewId="0">
      <selection activeCell="M9" sqref="M9"/>
    </sheetView>
  </sheetViews>
  <sheetFormatPr defaultRowHeight="13.2" x14ac:dyDescent="0.25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Group Box 1">
              <controlPr defaultSize="0" autoFill="0" autoPict="0">
                <anchor moveWithCells="1">
                  <from>
                    <xdr:col>3</xdr:col>
                    <xdr:colOff>144780</xdr:colOff>
                    <xdr:row>3</xdr:row>
                    <xdr:rowOff>76200</xdr:rowOff>
                  </from>
                  <to>
                    <xdr:col>13</xdr:col>
                    <xdr:colOff>121920</xdr:colOff>
                    <xdr:row>26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Label 4">
              <controlPr defaultSize="0" autoFill="0" autoLine="0" autoPict="0">
                <anchor moveWithCells="1" sizeWithCells="1">
                  <from>
                    <xdr:col>3</xdr:col>
                    <xdr:colOff>457200</xdr:colOff>
                    <xdr:row>5</xdr:row>
                    <xdr:rowOff>53340</xdr:rowOff>
                  </from>
                  <to>
                    <xdr:col>5</xdr:col>
                    <xdr:colOff>198120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Drop Down 5">
              <controlPr defaultSize="0" autoLine="0" autoPict="0">
                <anchor moveWithCells="1">
                  <from>
                    <xdr:col>5</xdr:col>
                    <xdr:colOff>441960</xdr:colOff>
                    <xdr:row>5</xdr:row>
                    <xdr:rowOff>60960</xdr:rowOff>
                  </from>
                  <to>
                    <xdr:col>11</xdr:col>
                    <xdr:colOff>91440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Sair">
                <anchor moveWithCells="1" sizeWithCells="1">
                  <from>
                    <xdr:col>10</xdr:col>
                    <xdr:colOff>114300</xdr:colOff>
                    <xdr:row>21</xdr:row>
                    <xdr:rowOff>137160</xdr:rowOff>
                  </from>
                  <to>
                    <xdr:col>12</xdr:col>
                    <xdr:colOff>137160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List Box 7">
              <controlPr defaultSize="0" autoLine="0" autoPict="0">
                <anchor moveWithCells="1">
                  <from>
                    <xdr:col>5</xdr:col>
                    <xdr:colOff>434340</xdr:colOff>
                    <xdr:row>8</xdr:row>
                    <xdr:rowOff>121920</xdr:rowOff>
                  </from>
                  <to>
                    <xdr:col>11</xdr:col>
                    <xdr:colOff>106680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Exercicio 1</vt:lpstr>
      <vt:lpstr>Exercicio 2</vt:lpstr>
      <vt:lpstr>Exercicio 3</vt:lpstr>
      <vt:lpstr>Exercício 4</vt:lpstr>
      <vt:lpstr>Exercicio 5</vt:lpstr>
      <vt:lpstr>Exercicio 6</vt:lpstr>
      <vt:lpstr>Planilha1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Augusto de Moraes</dc:creator>
  <cp:lastModifiedBy>Aluno DEV Noturno</cp:lastModifiedBy>
  <cp:revision>1</cp:revision>
  <dcterms:created xsi:type="dcterms:W3CDTF">2016-02-20T11:37:42Z</dcterms:created>
  <dcterms:modified xsi:type="dcterms:W3CDTF">2023-05-25T00:56:53Z</dcterms:modified>
</cp:coreProperties>
</file>